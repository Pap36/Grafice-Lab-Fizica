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<sst xmlns="http://schemas.openxmlformats.org/spreadsheetml/2006/main" count="13" uniqueCount="13">
  <si>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U</t>
  </si>
  <si>
    <t xml:space="preserve">I</t>
  </si>
  <si>
    <t xml:space="preserve">R_t</t>
  </si>
  <si>
    <t xml:space="preserve">T</t>
  </si>
  <si>
    <t xml:space="preserve">T^4</t>
  </si>
  <si>
    <t xml:space="preserve">log_T</t>
  </si>
  <si>
    <t xml:space="preserve">U_termo</t>
  </si>
  <si>
    <t xml:space="preserve">log_U</t>
  </si>
  <si>
    <t xml:space="preserve">R_0</t>
  </si>
  <si>
    <t xml:space="preserve">U_corect</t>
  </si>
  <si>
    <t xml:space="preserve">log_U_corect – 3</t>
  </si>
  <si>
    <t xml:space="preserve">alpha</t>
  </si>
  <si>
    <t xml:space="preserve">beta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</si>
</sst>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15.22"/>
    <col collapsed="false" customWidth="true" hidden="false" outlineLevel="0" max="5" min="5" style="0" width="20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n">
        <v>0.15</v>
      </c>
      <c r="L1" s="0" t="s">
        <v>9</v>
      </c>
      <c r="M1" s="0" t="s">
        <v>10</v>
      </c>
    </row>
    <row r="2" customFormat="false" ht="12.8" hidden="false" customHeight="false" outlineLevel="0" collapsed="false">
      <c r="A2" s="1" t="n">
        <v>1.16</v>
      </c>
      <c r="B2" s="1" t="n">
        <v>1.97</v>
      </c>
      <c r="C2" s="1" t="n">
        <f aca="false">A2/B2</f>
        <v>0.588832487309645</v>
      </c>
      <c r="D2" s="1" t="n">
        <f aca="false">273+1/(2*$J$3)*(SQRT($J$2*$J$2+4*J$3*(C2/$J$1 - 1)) - $J$2)</f>
        <v>835.573342310073</v>
      </c>
      <c r="E2" s="0" t="n">
        <f aca="false">D2^4</f>
        <v>487459236709.035</v>
      </c>
      <c r="F2" s="1" t="n">
        <f aca="false">LOG10(D2)</f>
        <v>2.92198457602786</v>
      </c>
      <c r="G2" s="1" t="n">
        <v>0.1</v>
      </c>
      <c r="H2" s="1" t="n">
        <f aca="false">LOG10(G2)  -3</f>
        <v>-4</v>
      </c>
      <c r="I2" s="0" t="s">
        <v>11</v>
      </c>
      <c r="J2" s="0" t="n">
        <f aca="false">4.82 * 10^(-3)</f>
        <v>0.00482</v>
      </c>
      <c r="L2" s="0" t="n">
        <f aca="false">G2-0.05</f>
        <v>0.05</v>
      </c>
      <c r="M2" s="0" t="n">
        <f aca="false">LOG(L2) - 3</f>
        <v>-4.30102999566398</v>
      </c>
    </row>
    <row r="3" customFormat="false" ht="12.8" hidden="false" customHeight="false" outlineLevel="0" collapsed="false">
      <c r="A3" s="1" t="n">
        <v>1.5</v>
      </c>
      <c r="B3" s="1" t="n">
        <v>2.2</v>
      </c>
      <c r="C3" s="1" t="n">
        <f aca="false">A3/B3</f>
        <v>0.681818181818182</v>
      </c>
      <c r="D3" s="1" t="n">
        <f aca="false">273+1/(2*$J$3)*(SQRT($J$2*$J$2+4*J$3*(C3/$J$1 - 1)) - $J$2)</f>
        <v>945.199655358789</v>
      </c>
      <c r="E3" s="0" t="n">
        <f aca="false">D3^4</f>
        <v>798167827760.303</v>
      </c>
      <c r="F3" s="1" t="n">
        <f aca="false">LOG10(D3)</f>
        <v>2.97552355460675</v>
      </c>
      <c r="G3" s="1" t="n">
        <v>0.2</v>
      </c>
      <c r="H3" s="1" t="n">
        <f aca="false">LOG10(G3)  -3</f>
        <v>-3.69897000433602</v>
      </c>
      <c r="I3" s="0" t="s">
        <v>12</v>
      </c>
      <c r="J3" s="0" t="n">
        <f aca="false">6.76*10^(-7)</f>
        <v>6.76E-007</v>
      </c>
      <c r="L3" s="0" t="n">
        <f aca="false">G3-0.05</f>
        <v>0.15</v>
      </c>
      <c r="M3" s="0" t="n">
        <f aca="false">LOG(L3) - 3</f>
        <v>-3.82390874094432</v>
      </c>
    </row>
    <row r="4" customFormat="false" ht="12.8" hidden="false" customHeight="false" outlineLevel="0" collapsed="false">
      <c r="A4" s="1" t="n">
        <v>1.7</v>
      </c>
      <c r="B4" s="1" t="n">
        <v>2.32</v>
      </c>
      <c r="C4" s="1" t="n">
        <f aca="false">A4/B4</f>
        <v>0.732758620689655</v>
      </c>
      <c r="D4" s="1" t="n">
        <f aca="false">273+1/(2*$J$3)*(SQRT($J$2*$J$2+4*J$3*(C4/$J$1 - 1)) - $J$2)</f>
        <v>1004.07049068737</v>
      </c>
      <c r="E4" s="0" t="n">
        <f aca="false">D4^4</f>
        <v>1016381646164.76</v>
      </c>
      <c r="F4" s="1" t="n">
        <f aca="false">LOG10(D4)</f>
        <v>3.00176420348819</v>
      </c>
      <c r="G4" s="1" t="n">
        <v>0.3</v>
      </c>
      <c r="H4" s="1" t="n">
        <f aca="false">LOG10(G4)  -3</f>
        <v>-3.52287874528034</v>
      </c>
      <c r="L4" s="0" t="n">
        <f aca="false">G4-0.05</f>
        <v>0.25</v>
      </c>
      <c r="M4" s="0" t="n">
        <f aca="false">LOG(L4) - 3</f>
        <v>-3.60205999132796</v>
      </c>
    </row>
    <row r="5" customFormat="false" ht="12.8" hidden="false" customHeight="false" outlineLevel="0" collapsed="false">
      <c r="A5" s="1" t="n">
        <v>1.92</v>
      </c>
      <c r="B5" s="1" t="n">
        <v>2.47</v>
      </c>
      <c r="C5" s="1" t="n">
        <f aca="false">A5/B5</f>
        <v>0.777327935222672</v>
      </c>
      <c r="D5" s="1" t="n">
        <f aca="false">273+1/(2*$J$3)*(SQRT($J$2*$J$2+4*J$3*(C5/$J$1 - 1)) - $J$2)</f>
        <v>1054.92445582841</v>
      </c>
      <c r="E5" s="0" t="n">
        <f aca="false">D5^4</f>
        <v>1238469860367.2</v>
      </c>
      <c r="F5" s="1" t="n">
        <f aca="false">LOG10(D5)</f>
        <v>3.0232213604948</v>
      </c>
      <c r="G5" s="1" t="n">
        <v>0.4</v>
      </c>
      <c r="H5" s="1" t="n">
        <f aca="false">LOG10(G5)  -3</f>
        <v>-3.39794000867204</v>
      </c>
      <c r="L5" s="0" t="n">
        <f aca="false">G5-0.05</f>
        <v>0.35</v>
      </c>
      <c r="M5" s="0" t="n">
        <f aca="false">LOG(L5) - 3</f>
        <v>-3.45593195564972</v>
      </c>
    </row>
    <row r="6" customFormat="false" ht="12.8" hidden="false" customHeight="false" outlineLevel="0" collapsed="false">
      <c r="A6" s="1" t="n">
        <v>2.06</v>
      </c>
      <c r="B6" s="1" t="n">
        <v>2.55</v>
      </c>
      <c r="C6" s="1" t="n">
        <f aca="false">A6/B6</f>
        <v>0.807843137254902</v>
      </c>
      <c r="D6" s="1" t="n">
        <f aca="false">273+1/(2*$J$3)*(SQRT($J$2*$J$2+4*J$3*(C6/$J$1 - 1)) - $J$2)</f>
        <v>1089.40217058789</v>
      </c>
      <c r="E6" s="0" t="n">
        <f aca="false">D6^4</f>
        <v>1408487331127.29</v>
      </c>
      <c r="F6" s="1" t="n">
        <f aca="false">LOG10(D6)</f>
        <v>3.03718823625142</v>
      </c>
      <c r="G6" s="1" t="n">
        <v>0.5</v>
      </c>
      <c r="H6" s="1" t="n">
        <f aca="false">LOG10(G6)  -3</f>
        <v>-3.30102999566398</v>
      </c>
      <c r="L6" s="0" t="n">
        <f aca="false">G6-0.05</f>
        <v>0.45</v>
      </c>
      <c r="M6" s="0" t="n">
        <f aca="false">LOG(L6) - 3</f>
        <v>-3.34678748622466</v>
      </c>
    </row>
    <row r="7" customFormat="false" ht="12.8" hidden="false" customHeight="false" outlineLevel="0" collapsed="false">
      <c r="A7" s="1" t="n">
        <v>2.24</v>
      </c>
      <c r="B7" s="1" t="n">
        <v>2.66</v>
      </c>
      <c r="C7" s="1" t="n">
        <f aca="false">A7/B7</f>
        <v>0.842105263157895</v>
      </c>
      <c r="D7" s="1" t="n">
        <f aca="false">273+1/(2*$J$3)*(SQRT($J$2*$J$2+4*J$3*(C7/$J$1 - 1)) - $J$2)</f>
        <v>1127.79286319103</v>
      </c>
      <c r="E7" s="0" t="n">
        <f aca="false">D7^4</f>
        <v>1617772199253.05</v>
      </c>
      <c r="F7" s="1" t="n">
        <f aca="false">LOG10(D7)</f>
        <v>3.05222934199328</v>
      </c>
      <c r="G7" s="1" t="n">
        <v>0.6</v>
      </c>
      <c r="H7" s="1" t="n">
        <f aca="false">LOG10(G7)  -3</f>
        <v>-3.22184874961636</v>
      </c>
      <c r="L7" s="0" t="n">
        <f aca="false">G7-0.05</f>
        <v>0.55</v>
      </c>
      <c r="M7" s="0" t="n">
        <f aca="false">LOG(L7) - 3</f>
        <v>-3.25963731050576</v>
      </c>
    </row>
    <row r="8" customFormat="false" ht="12.8" hidden="false" customHeight="false" outlineLevel="0" collapsed="false">
      <c r="A8" s="1" t="n">
        <v>2.31</v>
      </c>
      <c r="B8" s="1" t="n">
        <v>2.7</v>
      </c>
      <c r="C8" s="1" t="n">
        <f aca="false">A8/B8</f>
        <v>0.855555555555556</v>
      </c>
      <c r="D8" s="1" t="n">
        <f aca="false">273+1/(2*$J$3)*(SQRT($J$2*$J$2+4*J$3*(C8/$J$1 - 1)) - $J$2)</f>
        <v>1142.77306927197</v>
      </c>
      <c r="E8" s="0" t="n">
        <f aca="false">D8^4</f>
        <v>1705453916732.55</v>
      </c>
      <c r="F8" s="1" t="n">
        <f aca="false">LOG10(D8)</f>
        <v>3.05795999719514</v>
      </c>
      <c r="G8" s="1" t="n">
        <v>0.7</v>
      </c>
      <c r="H8" s="1" t="n">
        <f aca="false">LOG10(G8)  -3</f>
        <v>-3.15490195998574</v>
      </c>
      <c r="L8" s="0" t="n">
        <f aca="false">G8-0.05</f>
        <v>0.65</v>
      </c>
      <c r="M8" s="0" t="n">
        <f aca="false">LOG(L8) - 3</f>
        <v>-3.18708664335714</v>
      </c>
    </row>
    <row r="9" customFormat="false" ht="12.8" hidden="false" customHeight="false" outlineLevel="0" collapsed="false">
      <c r="A9" s="1" t="n">
        <v>2.4</v>
      </c>
      <c r="B9" s="1" t="n">
        <v>2.75</v>
      </c>
      <c r="C9" s="1" t="n">
        <f aca="false">A9/B9</f>
        <v>0.872727272727273</v>
      </c>
      <c r="D9" s="1" t="n">
        <f aca="false">273+1/(2*$J$3)*(SQRT($J$2*$J$2+4*J$3*(C9/$J$1 - 1)) - $J$2)</f>
        <v>1161.82477396372</v>
      </c>
      <c r="E9" s="0" t="n">
        <f aca="false">D9^4</f>
        <v>1822059401201.28</v>
      </c>
      <c r="F9" s="1" t="n">
        <f aca="false">LOG10(D9)</f>
        <v>3.06514063284001</v>
      </c>
      <c r="G9" s="1" t="n">
        <v>0.8</v>
      </c>
      <c r="H9" s="1" t="n">
        <f aca="false">LOG10(G9)  -3</f>
        <v>-3.09691001300806</v>
      </c>
      <c r="L9" s="0" t="n">
        <f aca="false">G9-0.05</f>
        <v>0.75</v>
      </c>
      <c r="M9" s="0" t="n">
        <f aca="false">LOG(L9) - 3</f>
        <v>-3.1249387366083</v>
      </c>
    </row>
    <row r="10" customFormat="false" ht="12.8" hidden="false" customHeight="false" outlineLevel="0" collapsed="false">
      <c r="A10" s="1" t="n">
        <v>2.54</v>
      </c>
      <c r="B10" s="1" t="n">
        <v>2.84</v>
      </c>
      <c r="C10" s="1" t="n">
        <f aca="false">A10/B10</f>
        <v>0.894366197183099</v>
      </c>
      <c r="D10" s="1" t="n">
        <f aca="false">273+1/(2*$J$3)*(SQRT($J$2*$J$2+4*J$3*(C10/$J$1 - 1)) - $J$2)</f>
        <v>1185.71733115691</v>
      </c>
      <c r="E10" s="0" t="n">
        <f aca="false">D10^4</f>
        <v>1976626762946.24</v>
      </c>
      <c r="F10" s="1" t="n">
        <f aca="false">LOG10(D10)</f>
        <v>3.07398116782213</v>
      </c>
      <c r="G10" s="1" t="n">
        <v>0.9</v>
      </c>
      <c r="H10" s="1" t="n">
        <f aca="false">LOG10(G10)  -3</f>
        <v>-3.04575749056068</v>
      </c>
      <c r="L10" s="0" t="n">
        <f aca="false">G10-0.05</f>
        <v>0.85</v>
      </c>
      <c r="M10" s="0" t="n">
        <f aca="false">LOG(L10) - 3</f>
        <v>-3.07058107428571</v>
      </c>
    </row>
    <row r="11" customFormat="false" ht="12.8" hidden="false" customHeight="false" outlineLevel="0" collapsed="false">
      <c r="A11" s="1" t="n">
        <v>2.69</v>
      </c>
      <c r="B11" s="1" t="n">
        <v>2.92</v>
      </c>
      <c r="C11" s="1" t="n">
        <f aca="false">A11/B11</f>
        <v>0.921232876712329</v>
      </c>
      <c r="D11" s="1" t="n">
        <f aca="false">273+1/(2*$J$3)*(SQRT($J$2*$J$2+4*J$3*(C11/$J$1 - 1)) - $J$2)</f>
        <v>1215.20585894411</v>
      </c>
      <c r="E11" s="0" t="n">
        <f aca="false">D11^4</f>
        <v>2180717551445.38</v>
      </c>
      <c r="F11" s="1" t="n">
        <f aca="false">LOG10(D11)</f>
        <v>3.08464985474953</v>
      </c>
      <c r="G11" s="1" t="n">
        <v>1</v>
      </c>
      <c r="H11" s="1" t="n">
        <f aca="false">LOG10(G11)  -3</f>
        <v>-3</v>
      </c>
      <c r="L11" s="0" t="n">
        <f aca="false">G11-0.05</f>
        <v>0.95</v>
      </c>
      <c r="M11" s="0" t="n">
        <f aca="false">LOG(L11) - 3</f>
        <v>-3.02227639471115</v>
      </c>
    </row>
    <row r="12" customFormat="false" ht="12.8" hidden="false" customHeight="false" outlineLevel="0" collapsed="false">
      <c r="A12" s="1" t="n">
        <v>2.83</v>
      </c>
      <c r="B12" s="1" t="n">
        <v>3</v>
      </c>
      <c r="C12" s="1" t="n">
        <f aca="false">A12/B12</f>
        <v>0.943333333333333</v>
      </c>
      <c r="D12" s="1" t="n">
        <f aca="false">273+1/(2*$J$3)*(SQRT($J$2*$J$2+4*J$3*(C12/$J$1 - 1)) - $J$2)</f>
        <v>1239.31918932464</v>
      </c>
      <c r="E12" s="0" t="n">
        <f aca="false">D12^4</f>
        <v>2359025834637.52</v>
      </c>
      <c r="F12" s="1" t="n">
        <f aca="false">LOG10(D12)</f>
        <v>3.09318317426115</v>
      </c>
      <c r="G12" s="1" t="n">
        <v>1.1</v>
      </c>
      <c r="H12" s="1" t="n">
        <f aca="false">LOG10(G12)  -3</f>
        <v>-2.95860731484178</v>
      </c>
      <c r="L12" s="0" t="n">
        <f aca="false">G12-0.05</f>
        <v>1.05</v>
      </c>
      <c r="M12" s="0" t="n">
        <f aca="false">LOG(L12) - 3</f>
        <v>-2.97881070093006</v>
      </c>
    </row>
    <row r="13" customFormat="false" ht="12.8" hidden="false" customHeight="false" outlineLevel="0" collapsed="false">
      <c r="A13" s="0" t="n">
        <v>2.96</v>
      </c>
      <c r="B13" s="0" t="n">
        <v>3.08</v>
      </c>
      <c r="C13" s="1" t="n">
        <f aca="false">A13/B13</f>
        <v>0.961038961038961</v>
      </c>
      <c r="D13" s="1" t="n">
        <f aca="false">273+1/(2*$J$3)*(SQRT($J$2*$J$2+4*J$3*(C13/$J$1 - 1)) - $J$2)</f>
        <v>1258.5452305969</v>
      </c>
      <c r="E13" s="0" t="n">
        <f aca="false">D13^4</f>
        <v>2508853560831.12</v>
      </c>
      <c r="F13" s="1" t="n">
        <f aca="false">LOG10(D13)</f>
        <v>3.09986882818447</v>
      </c>
      <c r="G13" s="0" t="n">
        <v>1.3</v>
      </c>
      <c r="H13" s="1" t="n">
        <f aca="false">LOG10(G13)  -3</f>
        <v>-2.88605664769316</v>
      </c>
      <c r="L13" s="0" t="n">
        <f aca="false">G13-0.05</f>
        <v>1.25</v>
      </c>
      <c r="M13" s="0" t="n">
        <f aca="false">LOG(L13) - 3</f>
        <v>-2.90308998699194</v>
      </c>
    </row>
    <row r="14" customFormat="false" ht="12.8" hidden="false" customHeight="false" outlineLevel="0" collapsed="false">
      <c r="A14" s="0" t="n">
        <v>3.08</v>
      </c>
      <c r="B14" s="0" t="n">
        <v>3.14</v>
      </c>
      <c r="C14" s="1" t="n">
        <f aca="false">A14/B14</f>
        <v>0.980891719745223</v>
      </c>
      <c r="D14" s="1" t="n">
        <f aca="false">273+1/(2*$J$3)*(SQRT($J$2*$J$2+4*J$3*(C14/$J$1 - 1)) - $J$2)</f>
        <v>1280.00663396326</v>
      </c>
      <c r="E14" s="0" t="n">
        <f aca="false">D14^4</f>
        <v>2684410210149.91</v>
      </c>
      <c r="F14" s="1" t="n">
        <f aca="false">LOG10(D14)</f>
        <v>3.10721222049644</v>
      </c>
      <c r="G14" s="0" t="n">
        <v>1.4</v>
      </c>
      <c r="H14" s="1" t="n">
        <f aca="false">LOG10(G14)  -3</f>
        <v>-2.85387196432176</v>
      </c>
      <c r="L14" s="0" t="n">
        <f aca="false">G14-0.05</f>
        <v>1.35</v>
      </c>
      <c r="M14" s="0" t="n">
        <f aca="false">LOG(L14) - 3</f>
        <v>-2.86966623150499</v>
      </c>
    </row>
    <row r="15" customFormat="false" ht="12.8" hidden="false" customHeight="false" outlineLevel="0" collapsed="false">
      <c r="A15" s="0" t="n">
        <v>3.17</v>
      </c>
      <c r="B15" s="0" t="n">
        <v>3.19</v>
      </c>
      <c r="C15" s="1" t="n">
        <f aca="false">A15/B15</f>
        <v>0.993730407523511</v>
      </c>
      <c r="D15" s="1" t="n">
        <f aca="false">273+1/(2*$J$3)*(SQRT($J$2*$J$2+4*J$3*(C15/$J$1 - 1)) - $J$2)</f>
        <v>1293.83214745844</v>
      </c>
      <c r="E15" s="0" t="n">
        <f aca="false">D15^4</f>
        <v>2802281443170.72</v>
      </c>
      <c r="F15" s="1" t="n">
        <f aca="false">LOG10(D15)</f>
        <v>3.11187793772297</v>
      </c>
      <c r="G15" s="0" t="n">
        <v>1.5</v>
      </c>
      <c r="H15" s="1" t="n">
        <f aca="false">LOG10(G15)  -3</f>
        <v>-2.82390874094432</v>
      </c>
      <c r="L15" s="0" t="n">
        <f aca="false">G15-0.05</f>
        <v>1.45</v>
      </c>
      <c r="M15" s="0" t="n">
        <f aca="false">LOG(L15) - 3</f>
        <v>-2.83863199776503</v>
      </c>
    </row>
    <row r="16" customFormat="false" ht="12.8" hidden="false" customHeight="false" outlineLevel="0" collapsed="false">
      <c r="A16" s="0" t="n">
        <v>3.29</v>
      </c>
      <c r="B16" s="0" t="n">
        <v>3.25</v>
      </c>
      <c r="C16" s="1" t="n">
        <f aca="false">A16/B16</f>
        <v>1.01230769230769</v>
      </c>
      <c r="D16" s="1" t="n">
        <f aca="false">273+1/(2*$J$3)*(SQRT($J$2*$J$2+4*J$3*(C16/$J$1 - 1)) - $J$2)</f>
        <v>1313.76387618973</v>
      </c>
      <c r="E16" s="0" t="n">
        <f aca="false">D16^4</f>
        <v>2978991503858.55</v>
      </c>
      <c r="F16" s="1" t="n">
        <f aca="false">LOG10(D16)</f>
        <v>3.11851731615013</v>
      </c>
      <c r="G16" s="0" t="n">
        <v>1.6</v>
      </c>
      <c r="H16" s="1" t="n">
        <f aca="false">LOG10(G16)  -3</f>
        <v>-2.79588001734408</v>
      </c>
      <c r="L16" s="0" t="n">
        <f aca="false">G16-0.05</f>
        <v>1.55</v>
      </c>
      <c r="M16" s="0" t="n">
        <f aca="false">LOG(L16) - 3</f>
        <v>-2.80966830182971</v>
      </c>
    </row>
    <row r="17" customFormat="false" ht="12.8" hidden="false" customHeight="false" outlineLevel="0" collapsed="false">
      <c r="A17" s="0" t="n">
        <v>3.41</v>
      </c>
      <c r="B17" s="0" t="n">
        <v>3.32</v>
      </c>
      <c r="C17" s="1" t="n">
        <f aca="false">A17/B17</f>
        <v>1.02710843373494</v>
      </c>
      <c r="D17" s="1" t="n">
        <f aca="false">273+1/(2*$J$3)*(SQRT($J$2*$J$2+4*J$3*(C17/$J$1 - 1)) - $J$2)</f>
        <v>1329.58219602652</v>
      </c>
      <c r="E17" s="0" t="n">
        <f aca="false">D17^4</f>
        <v>3125077297941.81</v>
      </c>
      <c r="F17" s="1" t="n">
        <f aca="false">LOG10(D17)</f>
        <v>3.12371519099238</v>
      </c>
      <c r="G17" s="0" t="n">
        <v>1.7</v>
      </c>
      <c r="H17" s="1" t="n">
        <f aca="false">LOG10(G17)  -3</f>
        <v>-2.76955107862173</v>
      </c>
      <c r="L17" s="0" t="n">
        <f aca="false">G17-0.05</f>
        <v>1.65</v>
      </c>
      <c r="M17" s="0" t="n">
        <f aca="false">LOG(L17) - 3</f>
        <v>-2.78251605578609</v>
      </c>
    </row>
    <row r="18" customFormat="false" ht="12.8" hidden="false" customHeight="false" outlineLevel="0" collapsed="false">
      <c r="A18" s="0" t="n">
        <v>3.5</v>
      </c>
      <c r="B18" s="0" t="n">
        <v>3.36</v>
      </c>
      <c r="C18" s="1" t="n">
        <f aca="false">A18/B18</f>
        <v>1.04166666666667</v>
      </c>
      <c r="D18" s="1" t="n">
        <f aca="false">273+1/(2*$J$3)*(SQRT($J$2*$J$2+4*J$3*(C18/$J$1 - 1)) - $J$2)</f>
        <v>1345.08869430782</v>
      </c>
      <c r="E18" s="0" t="n">
        <f aca="false">D18^4</f>
        <v>3273434758199.58</v>
      </c>
      <c r="F18" s="1" t="n">
        <f aca="false">LOG10(D18)</f>
        <v>3.12875092238933</v>
      </c>
      <c r="G18" s="0" t="n">
        <v>1.8</v>
      </c>
      <c r="H18" s="1" t="n">
        <f aca="false">LOG10(G18)  -3</f>
        <v>-2.74472749489669</v>
      </c>
      <c r="L18" s="0" t="n">
        <f aca="false">G18-0.05</f>
        <v>1.75</v>
      </c>
      <c r="M18" s="0" t="n">
        <f aca="false">LOG(L18) - 3</f>
        <v>-2.75696195131371</v>
      </c>
    </row>
    <row r="19" customFormat="false" ht="12.8" hidden="false" customHeight="false" outlineLevel="0" collapsed="false">
      <c r="A19" s="0" t="n">
        <v>3.65</v>
      </c>
      <c r="B19" s="0" t="n">
        <v>3.44</v>
      </c>
      <c r="C19" s="1" t="n">
        <f aca="false">A19/B19</f>
        <v>1.06104651162791</v>
      </c>
      <c r="D19" s="1" t="n">
        <f aca="false">273+1/(2*$J$3)*(SQRT($J$2*$J$2+4*J$3*(C19/$J$1 - 1)) - $J$2)</f>
        <v>1365.65076408473</v>
      </c>
      <c r="E19" s="0" t="n">
        <f aca="false">D19^4</f>
        <v>3478232495234.61</v>
      </c>
      <c r="F19" s="1" t="n">
        <f aca="false">LOG10(D19)</f>
        <v>3.13533965203763</v>
      </c>
      <c r="G19" s="0" t="n">
        <v>2</v>
      </c>
      <c r="H19" s="1" t="n">
        <f aca="false">LOG10(G19)  -3</f>
        <v>-2.69897000433602</v>
      </c>
      <c r="L19" s="0" t="n">
        <f aca="false">G19-0.05</f>
        <v>1.95</v>
      </c>
      <c r="M19" s="0" t="n">
        <f aca="false">LOG(L19) - 3</f>
        <v>-2.70996538863748</v>
      </c>
    </row>
    <row r="20" customFormat="false" ht="12.8" hidden="false" customHeight="false" outlineLevel="0" collapsed="false">
      <c r="A20" s="0" t="n">
        <v>3.78</v>
      </c>
      <c r="B20" s="0" t="n">
        <v>3.51</v>
      </c>
      <c r="C20" s="1" t="n">
        <f aca="false">A20/B20</f>
        <v>1.07692307692308</v>
      </c>
      <c r="D20" s="1" t="n">
        <f aca="false">273+1/(2*$J$3)*(SQRT($J$2*$J$2+4*J$3*(C20/$J$1 - 1)) - $J$2)</f>
        <v>1382.42844464785</v>
      </c>
      <c r="E20" s="0" t="n">
        <f aca="false">D20^4</f>
        <v>3652335334023.67</v>
      </c>
      <c r="F20" s="1" t="n">
        <f aca="false">LOG10(D20)</f>
        <v>3.14064266120723</v>
      </c>
      <c r="G20" s="0" t="n">
        <v>2.1</v>
      </c>
      <c r="H20" s="1" t="n">
        <f aca="false">LOG10(G20)  -3</f>
        <v>-2.67778070526608</v>
      </c>
      <c r="L20" s="0" t="n">
        <f aca="false">G20-0.05</f>
        <v>2.05</v>
      </c>
      <c r="M20" s="0" t="n">
        <f aca="false">LOG(L20) - 3</f>
        <v>-2.68824613894425</v>
      </c>
    </row>
    <row r="21" customFormat="false" ht="12.8" hidden="false" customHeight="false" outlineLevel="0" collapsed="false">
      <c r="A21" s="0" t="n">
        <v>3.93</v>
      </c>
      <c r="B21" s="0" t="n">
        <v>3.58</v>
      </c>
      <c r="C21" s="1" t="n">
        <f aca="false">A21/B21</f>
        <v>1.09776536312849</v>
      </c>
      <c r="D21" s="1" t="n">
        <f aca="false">273+1/(2*$J$3)*(SQRT($J$2*$J$2+4*J$3*(C21/$J$1 - 1)) - $J$2)</f>
        <v>1404.36270099831</v>
      </c>
      <c r="E21" s="0" t="n">
        <f aca="false">D21^4</f>
        <v>3889709301482.84</v>
      </c>
      <c r="F21" s="1" t="n">
        <f aca="false">LOG10(D21)</f>
        <v>3.1474792863546</v>
      </c>
      <c r="G21" s="0" t="n">
        <v>2.3</v>
      </c>
      <c r="H21" s="1" t="n">
        <f aca="false">LOG10(G21)  -3</f>
        <v>-2.63827216398241</v>
      </c>
      <c r="L21" s="0" t="n">
        <f aca="false">G21-0.05</f>
        <v>2.25</v>
      </c>
      <c r="M21" s="0" t="n">
        <f aca="false">LOG(L21) - 3</f>
        <v>-2.64781748188864</v>
      </c>
    </row>
    <row r="22" customFormat="false" ht="12.8" hidden="false" customHeight="false" outlineLevel="0" collapsed="false">
      <c r="A22" s="0" t="n">
        <v>3.86</v>
      </c>
      <c r="B22" s="0" t="n">
        <v>3.55</v>
      </c>
      <c r="C22" s="1" t="n">
        <f aca="false">A22/B22</f>
        <v>1.08732394366197</v>
      </c>
      <c r="D22" s="1" t="n">
        <f aca="false">273+1/(2*$J$3)*(SQRT($J$2*$J$2+4*J$3*(C22/$J$1 - 1)) - $J$2)</f>
        <v>1393.38706929319</v>
      </c>
      <c r="E22" s="0" t="n">
        <f aca="false">D22^4</f>
        <v>3769529129841.31</v>
      </c>
      <c r="F22" s="1" t="n">
        <f aca="false">LOG10(D22)</f>
        <v>3.14407177594114</v>
      </c>
      <c r="G22" s="0" t="n">
        <v>2.2</v>
      </c>
      <c r="H22" s="1" t="n">
        <f aca="false">LOG10(G22)  -3</f>
        <v>-2.65757731917779</v>
      </c>
    </row>
    <row r="23" customFormat="false" ht="12.8" hidden="false" customHeight="false" outlineLevel="0" collapsed="false">
      <c r="A23" s="0" t="n">
        <v>3.74</v>
      </c>
      <c r="B23" s="0" t="n">
        <v>3.49</v>
      </c>
      <c r="C23" s="1" t="n">
        <f aca="false">A23/B23</f>
        <v>1.07163323782235</v>
      </c>
      <c r="D23" s="1" t="n">
        <f aca="false">273+1/(2*$J$3)*(SQRT($J$2*$J$2+4*J$3*(C23/$J$1 - 1)) - $J$2)</f>
        <v>1376.84506455255</v>
      </c>
      <c r="E23" s="0" t="n">
        <f aca="false">D23^4</f>
        <v>3593687330726.44</v>
      </c>
      <c r="F23" s="1" t="n">
        <f aca="false">LOG10(D23)</f>
        <v>3.13888507214098</v>
      </c>
      <c r="G23" s="0" t="n">
        <v>2.1</v>
      </c>
      <c r="H23" s="1" t="n">
        <f aca="false">LOG10(G23)  -3</f>
        <v>-2.67778070526608</v>
      </c>
    </row>
    <row r="24" customFormat="false" ht="12.8" hidden="false" customHeight="false" outlineLevel="0" collapsed="false">
      <c r="A24" s="0" t="n">
        <v>3.62</v>
      </c>
      <c r="B24" s="0" t="n">
        <v>3.43</v>
      </c>
      <c r="C24" s="1" t="n">
        <f aca="false">A24/B24</f>
        <v>1.05539358600583</v>
      </c>
      <c r="D24" s="1" t="n">
        <f aca="false">273+1/(2*$J$3)*(SQRT($J$2*$J$2+4*J$3*(C24/$J$1 - 1)) - $J$2)</f>
        <v>1359.66238347238</v>
      </c>
      <c r="E24" s="0" t="n">
        <f aca="false">D24^4</f>
        <v>3417624386669.28</v>
      </c>
      <c r="F24" s="1" t="n">
        <f aca="false">LOG10(D24)</f>
        <v>3.13343108248963</v>
      </c>
      <c r="G24" s="0" t="n">
        <v>2</v>
      </c>
      <c r="H24" s="1" t="n">
        <f aca="false">LOG10(G24)  -3</f>
        <v>-2.69897000433602</v>
      </c>
    </row>
    <row r="25" customFormat="false" ht="12.8" hidden="false" customHeight="false" outlineLevel="0" collapsed="false">
      <c r="A25" s="0" t="n">
        <v>3.6</v>
      </c>
      <c r="B25" s="0" t="n">
        <v>3.41</v>
      </c>
      <c r="C25" s="1" t="n">
        <f aca="false">A25/B25</f>
        <v>1.05571847507331</v>
      </c>
      <c r="D25" s="1" t="n">
        <f aca="false">273+1/(2*$J$3)*(SQRT($J$2*$J$2+4*J$3*(C25/$J$1 - 1)) - $J$2)</f>
        <v>1360.0067608373</v>
      </c>
      <c r="E25" s="0" t="n">
        <f aca="false">D25^4</f>
        <v>3421088186862.24</v>
      </c>
      <c r="F25" s="1" t="n">
        <f aca="false">LOG10(D25)</f>
        <v>3.13354106733127</v>
      </c>
      <c r="G25" s="0" t="n">
        <v>1.9</v>
      </c>
      <c r="H25" s="1" t="n">
        <f aca="false">LOG10(G25)  -3</f>
        <v>-2.72124639904717</v>
      </c>
    </row>
    <row r="26" customFormat="false" ht="12.8" hidden="false" customHeight="false" outlineLevel="0" collapsed="false">
      <c r="A26" s="0" t="n">
        <v>3.51</v>
      </c>
      <c r="B26" s="0" t="n">
        <v>3.36</v>
      </c>
      <c r="C26" s="1" t="n">
        <f aca="false">A26/B26</f>
        <v>1.04464285714286</v>
      </c>
      <c r="D26" s="1" t="n">
        <f aca="false">273+1/(2*$J$3)*(SQRT($J$2*$J$2+4*J$3*(C26/$J$1 - 1)) - $J$2)</f>
        <v>1348.25236255195</v>
      </c>
      <c r="E26" s="0" t="n">
        <f aca="false">D26^4</f>
        <v>3304340245318.53</v>
      </c>
      <c r="F26" s="1" t="n">
        <f aca="false">LOG10(D26)</f>
        <v>3.12977118997809</v>
      </c>
      <c r="G26" s="0" t="n">
        <v>1.8</v>
      </c>
      <c r="H26" s="1" t="n">
        <f aca="false">LOG10(G26)  -3</f>
        <v>-2.74472749489669</v>
      </c>
    </row>
    <row r="27" customFormat="false" ht="12.8" hidden="false" customHeight="false" outlineLevel="0" collapsed="false">
      <c r="A27" s="0" t="n">
        <v>3.32</v>
      </c>
      <c r="B27" s="0" t="n">
        <v>3.27</v>
      </c>
      <c r="C27" s="1" t="n">
        <f aca="false">A27/B27</f>
        <v>1.01529051987768</v>
      </c>
      <c r="D27" s="1" t="n">
        <f aca="false">273+1/(2*$J$3)*(SQRT($J$2*$J$2+4*J$3*(C27/$J$1 - 1)) - $J$2)</f>
        <v>1316.95614667815</v>
      </c>
      <c r="E27" s="0" t="n">
        <f aca="false">D27^4</f>
        <v>3008051410700.52</v>
      </c>
      <c r="F27" s="1" t="n">
        <f aca="false">LOG10(D27)</f>
        <v>3.11957131363089</v>
      </c>
      <c r="G27" s="0" t="n">
        <v>1.6</v>
      </c>
      <c r="H27" s="1" t="n">
        <f aca="false">LOG10(G27)  -3</f>
        <v>-2.79588001734408</v>
      </c>
    </row>
    <row r="28" customFormat="false" ht="12.8" hidden="false" customHeight="false" outlineLevel="0" collapsed="false">
      <c r="A28" s="0" t="n">
        <v>3.23</v>
      </c>
      <c r="B28" s="0" t="n">
        <v>3.22</v>
      </c>
      <c r="C28" s="1" t="n">
        <f aca="false">A28/B28</f>
        <v>1.00310559006211</v>
      </c>
      <c r="D28" s="1" t="n">
        <f aca="false">273+1/(2*$J$3)*(SQRT($J$2*$J$2+4*J$3*(C28/$J$1 - 1)) - $J$2)</f>
        <v>1303.90166546893</v>
      </c>
      <c r="E28" s="0" t="n">
        <f aca="false">D28^4</f>
        <v>2890542506380.24</v>
      </c>
      <c r="F28" s="1" t="n">
        <f aca="false">LOG10(D28)</f>
        <v>3.1152448400504</v>
      </c>
      <c r="G28" s="0" t="n">
        <v>1.5</v>
      </c>
      <c r="H28" s="1" t="n">
        <f aca="false">LOG10(G28)  -3</f>
        <v>-2.82390874094432</v>
      </c>
    </row>
    <row r="29" customFormat="false" ht="12.8" hidden="false" customHeight="false" outlineLevel="0" collapsed="false">
      <c r="A29" s="0" t="n">
        <v>3.12</v>
      </c>
      <c r="B29" s="0" t="n">
        <v>3.16</v>
      </c>
      <c r="C29" s="1" t="n">
        <f aca="false">A29/B29</f>
        <v>0.987341772151899</v>
      </c>
      <c r="D29" s="1" t="n">
        <f aca="false">273+1/(2*$J$3)*(SQRT($J$2*$J$2+4*J$3*(C29/$J$1 - 1)) - $J$2)</f>
        <v>1286.95767739534</v>
      </c>
      <c r="E29" s="0" t="n">
        <f aca="false">D29^4</f>
        <v>2743197397636.36</v>
      </c>
      <c r="F29" s="1" t="n">
        <f aca="false">LOG10(D29)</f>
        <v>3.10956426502724</v>
      </c>
      <c r="G29" s="0" t="n">
        <v>1.4</v>
      </c>
      <c r="H29" s="1" t="n">
        <f aca="false">LOG10(G29)  -3</f>
        <v>-2.85387196432176</v>
      </c>
    </row>
    <row r="30" customFormat="false" ht="12.8" hidden="false" customHeight="false" outlineLevel="0" collapsed="false">
      <c r="A30" s="0" t="n">
        <v>3.01</v>
      </c>
      <c r="B30" s="0" t="n">
        <v>3.1</v>
      </c>
      <c r="C30" s="1" t="n">
        <f aca="false">A30/B30</f>
        <v>0.970967741935484</v>
      </c>
      <c r="D30" s="1" t="n">
        <f aca="false">273+1/(2*$J$3)*(SQRT($J$2*$J$2+4*J$3*(C30/$J$1 - 1)) - $J$2)</f>
        <v>1269.29115048739</v>
      </c>
      <c r="E30" s="0" t="n">
        <f aca="false">D30^4</f>
        <v>2595643289606.37</v>
      </c>
      <c r="F30" s="1" t="n">
        <f aca="false">LOG10(D30)</f>
        <v>3.10356125215535</v>
      </c>
      <c r="G30" s="0" t="n">
        <v>1.3</v>
      </c>
      <c r="H30" s="1" t="n">
        <f aca="false">LOG10(G30)  -3</f>
        <v>-2.88605664769316</v>
      </c>
    </row>
    <row r="31" customFormat="false" ht="12.8" hidden="false" customHeight="false" outlineLevel="0" collapsed="false">
      <c r="A31" s="0" t="n">
        <v>2.81</v>
      </c>
      <c r="B31" s="0" t="n">
        <v>2.99</v>
      </c>
      <c r="C31" s="1" t="n">
        <f aca="false">A31/B31</f>
        <v>0.939799331103679</v>
      </c>
      <c r="D31" s="1" t="n">
        <f aca="false">273+1/(2*$J$3)*(SQRT($J$2*$J$2+4*J$3*(C31/$J$1 - 1)) - $J$2)</f>
        <v>1235.4719419882</v>
      </c>
      <c r="E31" s="0" t="n">
        <f aca="false">D31^4</f>
        <v>2329869238949.14</v>
      </c>
      <c r="F31" s="1" t="n">
        <f aca="false">LOG10(D31)</f>
        <v>3.09183288686633</v>
      </c>
      <c r="G31" s="0" t="n">
        <v>1.1</v>
      </c>
      <c r="H31" s="1" t="n">
        <f aca="false">LOG10(G31)  -3</f>
        <v>-2.95860731484178</v>
      </c>
    </row>
    <row r="32" customFormat="false" ht="12.8" hidden="false" customHeight="false" outlineLevel="0" collapsed="false">
      <c r="A32" s="0" t="n">
        <v>2.7</v>
      </c>
      <c r="B32" s="0" t="n">
        <v>2.92</v>
      </c>
      <c r="C32" s="1" t="n">
        <f aca="false">A32/B32</f>
        <v>0.924657534246575</v>
      </c>
      <c r="D32" s="1" t="n">
        <f aca="false">273+1/(2*$J$3)*(SQRT($J$2*$J$2+4*J$3*(C32/$J$1 - 1)) - $J$2)</f>
        <v>1218.95086794867</v>
      </c>
      <c r="E32" s="0" t="n">
        <f aca="false">D32^4</f>
        <v>2207724126512.79</v>
      </c>
      <c r="F32" s="1" t="n">
        <f aca="false">LOG10(D32)</f>
        <v>3.0859862009352</v>
      </c>
      <c r="G32" s="0" t="n">
        <v>1</v>
      </c>
      <c r="H32" s="1" t="n">
        <f aca="false">LOG10(G32)  -3</f>
        <v>-3</v>
      </c>
    </row>
    <row r="33" customFormat="false" ht="12.8" hidden="false" customHeight="false" outlineLevel="0" collapsed="false">
      <c r="A33" s="0" t="n">
        <v>2.57</v>
      </c>
      <c r="B33" s="0" t="n">
        <v>2.85</v>
      </c>
      <c r="C33" s="1" t="n">
        <f aca="false">A33/B33</f>
        <v>0.901754385964912</v>
      </c>
      <c r="D33" s="1" t="n">
        <f aca="false">273+1/(2*$J$3)*(SQRT($J$2*$J$2+4*J$3*(C33/$J$1 - 1)) - $J$2)</f>
        <v>1193.84583742227</v>
      </c>
      <c r="E33" s="0" t="n">
        <f aca="false">D33^4</f>
        <v>2031388539823.47</v>
      </c>
      <c r="F33" s="1" t="n">
        <f aca="false">LOG10(D33)</f>
        <v>3.0769482495074</v>
      </c>
      <c r="G33" s="0" t="n">
        <v>0.9</v>
      </c>
      <c r="H33" s="1" t="n">
        <f aca="false">LOG10(G33)  -3</f>
        <v>-3.04575749056068</v>
      </c>
    </row>
    <row r="34" customFormat="false" ht="12.8" hidden="false" customHeight="false" outlineLevel="0" collapsed="false">
      <c r="A34" s="0" t="n">
        <v>2.43</v>
      </c>
      <c r="B34" s="0" t="n">
        <v>2.77</v>
      </c>
      <c r="C34" s="1" t="n">
        <f aca="false">A34/B34</f>
        <v>0.877256317689531</v>
      </c>
      <c r="D34" s="1" t="n">
        <f aca="false">273+1/(2*$J$3)*(SQRT($J$2*$J$2+4*J$3*(C34/$J$1 - 1)) - $J$2)</f>
        <v>1166.83609984527</v>
      </c>
      <c r="E34" s="0" t="n">
        <f aca="false">D34^4</f>
        <v>1853699905707.51</v>
      </c>
      <c r="F34" s="1" t="n">
        <f aca="false">LOG10(D34)</f>
        <v>3.06700985696073</v>
      </c>
      <c r="G34" s="0" t="n">
        <v>0.8</v>
      </c>
      <c r="H34" s="1" t="n">
        <f aca="false">LOG10(G34)  -3</f>
        <v>-3.09691001300806</v>
      </c>
    </row>
    <row r="35" customFormat="false" ht="12.8" hidden="false" customHeight="false" outlineLevel="0" collapsed="false">
      <c r="A35" s="0" t="n">
        <v>2.29</v>
      </c>
      <c r="B35" s="0" t="n">
        <v>2.68</v>
      </c>
      <c r="C35" s="1" t="n">
        <f aca="false">A35/B35</f>
        <v>0.854477611940299</v>
      </c>
      <c r="D35" s="1" t="n">
        <f aca="false">273+1/(2*$J$3)*(SQRT($J$2*$J$2+4*J$3*(C35/$J$1 - 1)) - $J$2)</f>
        <v>1141.57437978427</v>
      </c>
      <c r="E35" s="0" t="n">
        <f aca="false">D35^4</f>
        <v>1698309557183.89</v>
      </c>
      <c r="F35" s="1" t="n">
        <f aca="false">LOG10(D35)</f>
        <v>3.05750421339744</v>
      </c>
      <c r="G35" s="0" t="n">
        <v>0.7</v>
      </c>
      <c r="H35" s="1" t="n">
        <f aca="false">LOG10(G35)  -3</f>
        <v>-3.15490195998574</v>
      </c>
    </row>
    <row r="36" customFormat="false" ht="12.8" hidden="false" customHeight="false" outlineLevel="0" collapsed="false">
      <c r="A36" s="0" t="n">
        <v>2.06</v>
      </c>
      <c r="B36" s="0" t="n">
        <v>2.54</v>
      </c>
      <c r="C36" s="1" t="n">
        <f aca="false">A36/B36</f>
        <v>0.811023622047244</v>
      </c>
      <c r="D36" s="1" t="n">
        <f aca="false">273+1/(2*$J$3)*(SQRT($J$2*$J$2+4*J$3*(C36/$J$1 - 1)) - $J$2)</f>
        <v>1092.98005389308</v>
      </c>
      <c r="E36" s="0" t="n">
        <f aca="false">D36^4</f>
        <v>1427082057427.99</v>
      </c>
      <c r="F36" s="1" t="n">
        <f aca="false">LOG10(D36)</f>
        <v>3.03861223645729</v>
      </c>
      <c r="G36" s="0" t="n">
        <v>0.5</v>
      </c>
      <c r="H36" s="1" t="n">
        <f aca="false">LOG10(G36)  -3</f>
        <v>-3.30102999566398</v>
      </c>
    </row>
    <row r="37" customFormat="false" ht="12.8" hidden="false" customHeight="false" outlineLevel="0" collapsed="false">
      <c r="A37" s="0" t="n">
        <v>1.74</v>
      </c>
      <c r="B37" s="0" t="n">
        <v>2.33</v>
      </c>
      <c r="C37" s="1" t="n">
        <f aca="false">A37/B37</f>
        <v>0.746781115879828</v>
      </c>
      <c r="D37" s="1" t="n">
        <f aca="false">273+1/(2*$J$3)*(SQRT($J$2*$J$2+4*J$3*(C37/$J$1 - 1)) - $J$2)</f>
        <v>1020.13493718354</v>
      </c>
      <c r="E37" s="0" t="n">
        <f aca="false">D37^4</f>
        <v>1083005059346.59</v>
      </c>
      <c r="F37" s="1" t="n">
        <f aca="false">LOG10(D37)</f>
        <v>3.00865762136805</v>
      </c>
      <c r="G37" s="0" t="n">
        <v>0.3</v>
      </c>
      <c r="H37" s="1" t="n">
        <f aca="false">LOG10(G37)  -3</f>
        <v>-3.52287874528034</v>
      </c>
    </row>
    <row r="38" customFormat="false" ht="12.8" hidden="false" customHeight="false" outlineLevel="0" collapsed="false">
      <c r="A38" s="0" t="n">
        <v>1.31</v>
      </c>
      <c r="B38" s="0" t="n">
        <v>2.05</v>
      </c>
      <c r="C38" s="1" t="n">
        <f aca="false">A38/B38</f>
        <v>0.639024390243903</v>
      </c>
      <c r="D38" s="1" t="n">
        <f aca="false">273+1/(2*$J$3)*(SQRT($J$2*$J$2+4*J$3*(C38/$J$1 - 1)) - $J$2)</f>
        <v>895.104048071778</v>
      </c>
      <c r="E38" s="0" t="n">
        <f aca="false">D38^4</f>
        <v>641939478142.389</v>
      </c>
      <c r="F38" s="1" t="n">
        <f aca="false">LOG10(D38)</f>
        <v>2.951873521212</v>
      </c>
      <c r="G38" s="0" t="n">
        <v>0.1</v>
      </c>
      <c r="H38" s="1" t="n">
        <f aca="false">LOG10(G38)  -3</f>
        <v>-4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2026-03-11T09:07:18Z</dcterms:created>
  <dc:creator/>
  <dc:description/>
  <dc:language>en-GB</dc:language>
  <cp:lastModifiedBy/>
  <dcterms:modified xsi:type="dcterms:W3CDTF">2026-03-11T10:04:17Z</dcterms:modified>
  <cp:revision>11</cp:revision>
  <dc:subject/>
  <dc:title/>
</cp:coreProperties>
</file>