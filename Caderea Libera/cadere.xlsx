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<sst xmlns="http://schemas.openxmlformats.org/spreadsheetml/2006/main" count="11" uniqueCount="11">
  <si>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h</t>
  </si>
  <si>
    <t xml:space="preserve">t</t>
  </si>
  <si>
    <t xml:space="preserve">t^2 </t>
  </si>
  <si>
    <t xml:space="preserve">g</t>
  </si>
  <si>
    <t xml:space="preserve">g_med</t>
  </si>
  <si>
    <t xml:space="preserve">g_grafic</t>
  </si>
  <si>
    <t xml:space="preserve">g_grafic_panta</t>
  </si>
  <si>
    <t xml:space="preserve">h0</t>
  </si>
  <si>
    <t xml:space="preserve">alfa</t>
  </si>
  <si>
    <t xml:space="preserve">g_const</t>
  </si>
  <si>
    <t xml:space="preserve">hc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</si>
</sst>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L13" activeCellId="0" sqref="L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7" min="7" style="1" width="13.8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8</v>
      </c>
      <c r="L1" s="0" t="s">
        <v>9</v>
      </c>
    </row>
    <row r="2" customFormat="false" ht="12.8" hidden="false" customHeight="false" outlineLevel="0" collapsed="false">
      <c r="A2" s="2" t="n">
        <f aca="false">H2-$J$6</f>
        <v>0.117</v>
      </c>
      <c r="B2" s="2" t="n">
        <v>0.161</v>
      </c>
      <c r="C2" s="2" t="n">
        <f aca="false">B2*B2</f>
        <v>0.025921</v>
      </c>
      <c r="D2" s="2" t="n">
        <f aca="false">2*A2/C2</f>
        <v>9.02742949731877</v>
      </c>
      <c r="E2" s="3" t="n">
        <f aca="false">AVERAGE(D2:D12)</f>
        <v>9.26087785049845</v>
      </c>
      <c r="F2" s="3" t="n">
        <v>8.998</v>
      </c>
      <c r="G2" s="3" t="n">
        <f aca="false">2*K2</f>
        <v>9.34</v>
      </c>
      <c r="H2" s="1" t="n">
        <v>0.142</v>
      </c>
      <c r="K2" s="1" t="n">
        <v>4.67</v>
      </c>
      <c r="L2" s="0" t="n">
        <v>9.81</v>
      </c>
    </row>
    <row r="3" customFormat="false" ht="12.8" hidden="false" customHeight="false" outlineLevel="0" collapsed="false">
      <c r="A3" s="2" t="n">
        <f aca="false">H3-$J$6</f>
        <v>0.282</v>
      </c>
      <c r="B3" s="2" t="n">
        <v>0.249</v>
      </c>
      <c r="C3" s="2" t="n">
        <f aca="false">B3*B3</f>
        <v>0.062001</v>
      </c>
      <c r="D3" s="2" t="n">
        <f aca="false">2*A3/C3</f>
        <v>9.09662747375042</v>
      </c>
      <c r="E3" s="3"/>
      <c r="F3" s="3"/>
      <c r="G3" s="3"/>
      <c r="H3" s="1" t="n">
        <v>0.307</v>
      </c>
      <c r="L3" s="0" t="n">
        <v>9.81</v>
      </c>
    </row>
    <row r="4" customFormat="false" ht="12.8" hidden="false" customHeight="false" outlineLevel="0" collapsed="false">
      <c r="A4" s="2" t="n">
        <f aca="false">H4-$J$6</f>
        <v>0.382</v>
      </c>
      <c r="B4" s="2" t="n">
        <v>0.288</v>
      </c>
      <c r="C4" s="2" t="n">
        <f aca="false">B4*B4</f>
        <v>0.082944</v>
      </c>
      <c r="D4" s="2" t="n">
        <f aca="false">2*A4/C4</f>
        <v>9.21103395061728</v>
      </c>
      <c r="E4" s="3"/>
      <c r="F4" s="3"/>
      <c r="G4" s="3"/>
      <c r="H4" s="1" t="n">
        <v>0.407</v>
      </c>
      <c r="L4" s="0" t="n">
        <v>9.81</v>
      </c>
    </row>
    <row r="5" customFormat="false" ht="12.8" hidden="false" customHeight="false" outlineLevel="0" collapsed="false">
      <c r="A5" s="2" t="n">
        <f aca="false">H5-$J$6</f>
        <v>0.477</v>
      </c>
      <c r="B5" s="2" t="n">
        <v>0.32</v>
      </c>
      <c r="C5" s="2" t="n">
        <f aca="false">B5*B5</f>
        <v>0.1024</v>
      </c>
      <c r="D5" s="2" t="n">
        <f aca="false">2*A5/C5</f>
        <v>9.31640625</v>
      </c>
      <c r="E5" s="3"/>
      <c r="F5" s="3"/>
      <c r="G5" s="3"/>
      <c r="H5" s="1" t="n">
        <v>0.502</v>
      </c>
      <c r="L5" s="0" t="n">
        <v>9.81</v>
      </c>
    </row>
    <row r="6" customFormat="false" ht="12.8" hidden="false" customHeight="false" outlineLevel="0" collapsed="false">
      <c r="A6" s="2" t="n">
        <f aca="false">H6-$J$6</f>
        <v>0.559</v>
      </c>
      <c r="B6" s="2" t="n">
        <v>0.348</v>
      </c>
      <c r="C6" s="2" t="n">
        <f aca="false">B6*B6</f>
        <v>0.121104</v>
      </c>
      <c r="D6" s="2" t="n">
        <f aca="false">2*A6/C6</f>
        <v>9.23173470735896</v>
      </c>
      <c r="E6" s="3"/>
      <c r="F6" s="3"/>
      <c r="G6" s="3"/>
      <c r="H6" s="1" t="n">
        <v>0.584</v>
      </c>
      <c r="I6" s="1" t="s">
        <v>10</v>
      </c>
      <c r="J6" s="1" t="n">
        <v>0.025</v>
      </c>
      <c r="L6" s="0" t="n">
        <v>9.81</v>
      </c>
    </row>
    <row r="7" customFormat="false" ht="12.8" hidden="false" customHeight="false" outlineLevel="0" collapsed="false">
      <c r="A7" s="2" t="n">
        <f aca="false">H7-$J$6</f>
        <v>0.717</v>
      </c>
      <c r="B7" s="2" t="n">
        <v>0.39</v>
      </c>
      <c r="C7" s="2" t="n">
        <f aca="false">B7*B7</f>
        <v>0.1521</v>
      </c>
      <c r="D7" s="2" t="n">
        <f aca="false">2*A7/C7</f>
        <v>9.42800788954635</v>
      </c>
      <c r="E7" s="3"/>
      <c r="F7" s="3"/>
      <c r="G7" s="3"/>
      <c r="H7" s="1" t="n">
        <v>0.742</v>
      </c>
      <c r="L7" s="0" t="n">
        <v>9.81</v>
      </c>
    </row>
    <row r="8" customFormat="false" ht="12.8" hidden="false" customHeight="false" outlineLevel="0" collapsed="false">
      <c r="A8" s="2" t="n">
        <f aca="false">H8-$J$6</f>
        <v>0.793</v>
      </c>
      <c r="B8" s="2" t="n">
        <v>0.41</v>
      </c>
      <c r="C8" s="2" t="n">
        <f aca="false">B8*B8</f>
        <v>0.1681</v>
      </c>
      <c r="D8" s="2" t="n">
        <f aca="false">2*A8/C8</f>
        <v>9.43486020226056</v>
      </c>
      <c r="E8" s="3"/>
      <c r="F8" s="3"/>
      <c r="G8" s="3"/>
      <c r="H8" s="1" t="n">
        <v>0.818</v>
      </c>
      <c r="L8" s="0" t="n">
        <v>9.81</v>
      </c>
    </row>
    <row r="9" customFormat="false" ht="12.8" hidden="false" customHeight="false" outlineLevel="0" collapsed="false">
      <c r="A9" s="2" t="n">
        <f aca="false">H9-$J$6</f>
        <v>0.896</v>
      </c>
      <c r="B9" s="2" t="n">
        <v>0.438</v>
      </c>
      <c r="C9" s="2" t="n">
        <f aca="false">B9*B9</f>
        <v>0.191844</v>
      </c>
      <c r="D9" s="2" t="n">
        <f aca="false">2*A9/C9</f>
        <v>9.34092283313526</v>
      </c>
      <c r="E9" s="3"/>
      <c r="F9" s="3"/>
      <c r="G9" s="3"/>
      <c r="H9" s="1" t="n">
        <v>0.921</v>
      </c>
      <c r="L9" s="0" t="n">
        <v>9.81</v>
      </c>
    </row>
    <row r="10" customFormat="false" ht="12.8" hidden="false" customHeight="false" outlineLevel="0" collapsed="false">
      <c r="A10" s="2"/>
      <c r="B10" s="2"/>
      <c r="C10" s="2"/>
      <c r="D10" s="2"/>
      <c r="E10" s="4"/>
      <c r="F10" s="4"/>
      <c r="G10" s="4"/>
    </row>
    <row r="11" customFormat="false" ht="12.8" hidden="false" customHeight="false" outlineLevel="0" collapsed="false">
      <c r="A11" s="2"/>
      <c r="B11" s="2"/>
      <c r="C11" s="2"/>
      <c r="D11" s="2"/>
      <c r="E11" s="4"/>
      <c r="F11" s="4"/>
      <c r="G11" s="4"/>
    </row>
    <row r="12" customFormat="false" ht="12.8" hidden="false" customHeight="false" outlineLevel="0" collapsed="false">
      <c r="A12" s="2"/>
      <c r="B12" s="2"/>
      <c r="C12" s="2"/>
      <c r="D12" s="2"/>
      <c r="E12" s="4"/>
      <c r="F12" s="4"/>
      <c r="G12" s="4"/>
    </row>
  </sheetData>
  <mergeCells count="3">
    <mergeCell ref="E2:E9"/>
    <mergeCell ref="F2:F9"/>
    <mergeCell ref="G2:G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2025-12-09T12:11:56Z</dcterms:created>
  <dc:creator/>
  <dc:description/>
  <dc:language>en-GB</dc:language>
  <cp:lastModifiedBy/>
  <dcterms:modified xsi:type="dcterms:W3CDTF">2026-01-08T22:34:56Z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