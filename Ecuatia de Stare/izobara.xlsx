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<sst xmlns="http://schemas.openxmlformats.org/spreadsheetml/2006/main" count="15" uniqueCount="13">
  <si>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p(hPa)</t>
  </si>
  <si>
    <t xml:space="preserve">t (c) </t>
  </si>
  <si>
    <t xml:space="preserve">T (K)</t>
  </si>
  <si>
    <t xml:space="preserve">V (ml)</t>
  </si>
  <si>
    <t xml:space="preserve">niu</t>
  </si>
  <si>
    <t xml:space="preserve">V’</t>
  </si>
  <si>
    <t xml:space="preserve">pV</t>
  </si>
  <si>
    <t xml:space="preserve">nRT</t>
  </si>
  <si>
    <t xml:space="preserve">m</t>
  </si>
  <si>
    <t xml:space="preserve">V</t>
  </si>
  <si>
    <t xml:space="preserve">nr/p</t>
  </si>
  <si>
    <t xml:space="preserve">T</t>
  </si>
  <si>
    <t xml:space="preserve">n=mp/r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</si>
</sst>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21"/>
    <col collapsed="false" customWidth="true" hidden="false" outlineLevel="0" max="7" min="7" style="1" width="11.73"/>
    <col collapsed="false" customWidth="true" hidden="false" outlineLevel="0" max="8" min="8" style="1" width="15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</row>
    <row r="2" customFormat="false" ht="12.8" hidden="false" customHeight="false" outlineLevel="0" collapsed="false">
      <c r="B2" s="1"/>
      <c r="C2" s="1"/>
      <c r="D2" s="1"/>
      <c r="E2" s="1"/>
      <c r="H2" s="1" t="n">
        <f aca="false">D3/1000000</f>
        <v>5.9E-005</v>
      </c>
    </row>
    <row r="3" customFormat="false" ht="12.8" hidden="false" customHeight="false" outlineLevel="0" collapsed="false">
      <c r="A3" s="1" t="n">
        <v>1005</v>
      </c>
      <c r="B3" s="1" t="n">
        <v>30</v>
      </c>
      <c r="C3" s="1" t="n">
        <f aca="false">B3+273.15</f>
        <v>303.15</v>
      </c>
      <c r="D3" s="1" t="n">
        <v>59</v>
      </c>
      <c r="E3" s="1" t="n">
        <f aca="false">A3*D3/(C3*8.31)</f>
        <v>23.5374536083518</v>
      </c>
      <c r="H3" s="1" t="n">
        <f aca="false">D4/1000000</f>
        <v>5.95E-005</v>
      </c>
      <c r="I3" s="1" t="s">
        <v>6</v>
      </c>
      <c r="J3" s="1" t="s">
        <v>7</v>
      </c>
    </row>
    <row r="4" customFormat="false" ht="12.8" hidden="false" customHeight="false" outlineLevel="0" collapsed="false">
      <c r="A4" s="1" t="n">
        <v>1005</v>
      </c>
      <c r="B4" s="1" t="n">
        <v>35</v>
      </c>
      <c r="C4" s="1" t="n">
        <f aca="false">B4+273.15</f>
        <v>308.15</v>
      </c>
      <c r="D4" s="1" t="n">
        <v>59.5</v>
      </c>
      <c r="E4" s="1" t="n">
        <f aca="false">A4*D4/(C4*8.31)</f>
        <v>23.3517714601696</v>
      </c>
      <c r="H4" s="1" t="n">
        <f aca="false">D5/1000000</f>
        <v>6E-005</v>
      </c>
    </row>
    <row r="5" customFormat="false" ht="12.8" hidden="false" customHeight="false" outlineLevel="0" collapsed="false">
      <c r="A5" s="1" t="n">
        <v>1005</v>
      </c>
      <c r="B5" s="1" t="n">
        <v>40.5</v>
      </c>
      <c r="C5" s="1" t="n">
        <f aca="false">B5+273.15</f>
        <v>313.65</v>
      </c>
      <c r="D5" s="1" t="n">
        <v>60</v>
      </c>
      <c r="E5" s="1" t="n">
        <f aca="false">A5*D5/(C5*8.31)</f>
        <v>23.1350795138871</v>
      </c>
      <c r="F5" s="1" t="s">
        <v>8</v>
      </c>
      <c r="G5" s="1" t="n">
        <v>0.18</v>
      </c>
      <c r="H5" s="1" t="n">
        <f aca="false">D6/1000000</f>
        <v>6.05E-005</v>
      </c>
      <c r="I5" s="1" t="s">
        <v>9</v>
      </c>
      <c r="J5" s="1" t="s">
        <v>10</v>
      </c>
      <c r="K5" s="1" t="s">
        <v>11</v>
      </c>
    </row>
    <row r="6" customFormat="false" ht="12.8" hidden="false" customHeight="false" outlineLevel="0" collapsed="false">
      <c r="A6" s="1" t="n">
        <v>1005</v>
      </c>
      <c r="B6" s="1" t="n">
        <v>47.3</v>
      </c>
      <c r="C6" s="1" t="n">
        <f aca="false">B6+273.15</f>
        <v>320.45</v>
      </c>
      <c r="D6" s="1" t="n">
        <v>60.5</v>
      </c>
      <c r="E6" s="1" t="n">
        <f aca="false">A6*D6/(C6*8.31)</f>
        <v>22.8328506899988</v>
      </c>
      <c r="F6" s="1" t="s">
        <v>4</v>
      </c>
      <c r="G6" s="1" t="n">
        <f aca="false">G5*A4/8.31</f>
        <v>21.7689530685921</v>
      </c>
      <c r="H6" s="1" t="n">
        <f aca="false">D7/1000000</f>
        <v>6.1E-005</v>
      </c>
      <c r="J6" s="1" t="s">
        <v>8</v>
      </c>
    </row>
    <row r="7" customFormat="false" ht="12.8" hidden="false" customHeight="false" outlineLevel="0" collapsed="false">
      <c r="A7" s="1" t="n">
        <v>1005</v>
      </c>
      <c r="B7" s="1" t="n">
        <v>52</v>
      </c>
      <c r="C7" s="1" t="n">
        <f aca="false">B7+273.15</f>
        <v>325.15</v>
      </c>
      <c r="D7" s="1" t="n">
        <v>61</v>
      </c>
      <c r="E7" s="1" t="n">
        <f aca="false">A7*D7/(C7*8.31)</f>
        <v>22.6887784643688</v>
      </c>
      <c r="H7" s="1" t="n">
        <f aca="false">D8/1000000</f>
        <v>6.15E-005</v>
      </c>
      <c r="J7" s="1" t="s">
        <v>12</v>
      </c>
    </row>
    <row r="8" customFormat="false" ht="12.8" hidden="false" customHeight="false" outlineLevel="0" collapsed="false">
      <c r="A8" s="1" t="n">
        <v>1005</v>
      </c>
      <c r="B8" s="1" t="n">
        <v>55.5</v>
      </c>
      <c r="C8" s="1" t="n">
        <f aca="false">B8+273.15</f>
        <v>328.65</v>
      </c>
      <c r="D8" s="1" t="n">
        <v>61.5</v>
      </c>
      <c r="E8" s="1" t="n">
        <f aca="false">A8*D8/(C8*8.31)</f>
        <v>22.6311444751832</v>
      </c>
    </row>
    <row r="11" customFormat="false" ht="12.8" hidden="false" customHeight="false" outlineLevel="0" collapsed="false">
      <c r="F11" s="1" t="n">
        <f aca="false">D3/C3</f>
        <v>0.194623123866073</v>
      </c>
    </row>
    <row r="12" customFormat="false" ht="12.8" hidden="false" customHeight="false" outlineLevel="0" collapsed="false">
      <c r="F12" s="1" t="n">
        <f aca="false">D4/C4</f>
        <v>0.193087781924388</v>
      </c>
    </row>
    <row r="13" customFormat="false" ht="12.8" hidden="false" customHeight="false" outlineLevel="0" collapsed="false">
      <c r="F13" s="1" t="n">
        <f aca="false">D5/C5</f>
        <v>0.191296030607365</v>
      </c>
    </row>
    <row r="14" customFormat="false" ht="12.8" hidden="false" customHeight="false" outlineLevel="0" collapsed="false">
      <c r="F14" s="1" t="n">
        <f aca="false">D6/C6</f>
        <v>0.188797004212826</v>
      </c>
    </row>
    <row r="15" customFormat="false" ht="12.8" hidden="false" customHeight="false" outlineLevel="0" collapsed="false">
      <c r="F15" s="1" t="n">
        <f aca="false">D7/C7</f>
        <v>0.187605720436722</v>
      </c>
    </row>
    <row r="16" customFormat="false" ht="12.8" hidden="false" customHeight="false" outlineLevel="0" collapsed="false">
      <c r="F16" s="1" t="n">
        <f aca="false">D8/C8</f>
        <v>0.187129164764948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2025-11-11T10:33:31Z</dcterms:created>
  <dc:creator/>
  <dc:description/>
  <dc:language>en-GB</dc:language>
  <cp:lastModifiedBy/>
  <dcterms:modified xsi:type="dcterms:W3CDTF">2025-12-08T17:31:36Z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