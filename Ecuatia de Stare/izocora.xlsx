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<sst xmlns="http://schemas.openxmlformats.org/spreadsheetml/2006/main" count="13" uniqueCount="11">
  <si>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V(ml)</t>
  </si>
  <si>
    <t xml:space="preserve">t (c )</t>
  </si>
  <si>
    <t xml:space="preserve">T (K)</t>
  </si>
  <si>
    <t xml:space="preserve">p(hPa)</t>
  </si>
  <si>
    <t xml:space="preserve">niu</t>
  </si>
  <si>
    <t xml:space="preserve">log P</t>
  </si>
  <si>
    <t xml:space="preserve">log T</t>
  </si>
  <si>
    <t xml:space="preserve">p/T</t>
  </si>
  <si>
    <t xml:space="preserve">N</t>
  </si>
  <si>
    <t xml:space="preserve">m</t>
  </si>
  <si>
    <t xml:space="preserve">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</si>
</sst>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A2: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1" width="11.18"/>
    <col collapsed="false" customWidth="true" hidden="false" outlineLevel="0" max="5" min="5" style="1" width="26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1" t="s">
        <v>5</v>
      </c>
      <c r="I1" s="1" t="s">
        <v>6</v>
      </c>
      <c r="K1" s="1" t="s">
        <v>7</v>
      </c>
      <c r="L1" s="1" t="s">
        <v>8</v>
      </c>
    </row>
    <row r="2" customFormat="false" ht="12.8" hidden="false" customHeight="false" outlineLevel="0" collapsed="false">
      <c r="A2" s="1"/>
      <c r="B2" s="1"/>
      <c r="C2" s="2"/>
      <c r="D2" s="1"/>
      <c r="E2" s="2"/>
    </row>
    <row r="3" customFormat="false" ht="12.8" hidden="false" customHeight="false" outlineLevel="0" collapsed="false">
      <c r="A3" s="2" t="n">
        <v>57</v>
      </c>
      <c r="B3" s="2" t="n">
        <v>30</v>
      </c>
      <c r="C3" s="2" t="n">
        <f aca="false">B3+273.15</f>
        <v>303.15</v>
      </c>
      <c r="D3" s="2" t="n">
        <v>1036</v>
      </c>
      <c r="E3" s="2" t="n">
        <f aca="false">D3*A3/(8.31*C3)</f>
        <v>23.4409935151427</v>
      </c>
      <c r="H3" s="3" t="n">
        <f aca="false">LOG10(D3)</f>
        <v>3.01535975540921</v>
      </c>
      <c r="I3" s="3" t="n">
        <f aca="false">LOG10(C3)</f>
        <v>2.48165757257099</v>
      </c>
      <c r="K3" s="1" t="n">
        <f aca="false">D3/C3</f>
        <v>3.41745010720765</v>
      </c>
      <c r="L3" s="1" t="n">
        <v>1</v>
      </c>
    </row>
    <row r="4" customFormat="false" ht="12.8" hidden="false" customHeight="false" outlineLevel="0" collapsed="false">
      <c r="A4" s="2" t="n">
        <v>57</v>
      </c>
      <c r="B4" s="2" t="n">
        <v>35</v>
      </c>
      <c r="C4" s="2" t="n">
        <f aca="false">B4+273.15</f>
        <v>308.15</v>
      </c>
      <c r="D4" s="2" t="n">
        <v>1046</v>
      </c>
      <c r="E4" s="2" t="n">
        <f aca="false">D4*A4/(8.31*C4)</f>
        <v>23.2832362222205</v>
      </c>
      <c r="H4" s="3" t="n">
        <f aca="false">LOG10(D4)</f>
        <v>3.01953168453126</v>
      </c>
      <c r="I4" s="3" t="n">
        <f aca="false">LOG10(C4)</f>
        <v>2.48876217206669</v>
      </c>
      <c r="K4" s="1" t="n">
        <f aca="false">D4/C4</f>
        <v>3.39445075450268</v>
      </c>
      <c r="L4" s="1" t="n">
        <v>2</v>
      </c>
    </row>
    <row r="5" customFormat="false" ht="12.8" hidden="false" customHeight="false" outlineLevel="0" collapsed="false">
      <c r="A5" s="2" t="n">
        <v>57</v>
      </c>
      <c r="B5" s="2" t="n">
        <v>40.5</v>
      </c>
      <c r="C5" s="2" t="n">
        <f aca="false">B5+273.15</f>
        <v>313.65</v>
      </c>
      <c r="D5" s="2" t="n">
        <v>1054</v>
      </c>
      <c r="E5" s="2" t="n">
        <f aca="false">D5*A5/(8.31*C5)</f>
        <v>23.0499055893086</v>
      </c>
      <c r="F5" s="2" t="s">
        <v>9</v>
      </c>
      <c r="G5" s="2" t="n">
        <v>0.93</v>
      </c>
      <c r="H5" s="3" t="n">
        <f aca="false">LOG10(D5)</f>
        <v>3.02284061087653</v>
      </c>
      <c r="I5" s="3" t="n">
        <f aca="false">LOG10(C5)</f>
        <v>2.49644529187335</v>
      </c>
      <c r="K5" s="1" t="n">
        <f aca="false">D5/C5</f>
        <v>3.36043360433604</v>
      </c>
      <c r="L5" s="1" t="n">
        <v>3</v>
      </c>
    </row>
    <row r="6" customFormat="false" ht="12.8" hidden="false" customHeight="false" outlineLevel="0" collapsed="false">
      <c r="A6" s="2" t="n">
        <v>57</v>
      </c>
      <c r="B6" s="2" t="n">
        <v>47.3</v>
      </c>
      <c r="C6" s="2" t="n">
        <f aca="false">B6+273.15</f>
        <v>320.45</v>
      </c>
      <c r="D6" s="2" t="n">
        <v>1055</v>
      </c>
      <c r="E6" s="2" t="n">
        <f aca="false">D6*A6/(8.31*C6)</f>
        <v>22.582187841669</v>
      </c>
      <c r="F6" s="2" t="s">
        <v>4</v>
      </c>
      <c r="G6" s="2" t="n">
        <f aca="false">G5*A5/8.31</f>
        <v>6.37906137184116</v>
      </c>
      <c r="H6" s="3" t="n">
        <f aca="false">LOG10(D6)</f>
        <v>3.02325245963371</v>
      </c>
      <c r="I6" s="3" t="n">
        <f aca="false">LOG10(C6)</f>
        <v>2.50576027592009</v>
      </c>
      <c r="K6" s="1" t="n">
        <f aca="false">D6/C6</f>
        <v>3.29224528007489</v>
      </c>
      <c r="L6" s="1" t="n">
        <v>4</v>
      </c>
    </row>
    <row r="7" customFormat="false" ht="12.8" hidden="false" customHeight="false" outlineLevel="0" collapsed="false">
      <c r="A7" s="2" t="n">
        <v>57</v>
      </c>
      <c r="B7" s="2" t="n">
        <v>52</v>
      </c>
      <c r="C7" s="2" t="n">
        <f aca="false">B7+273.15</f>
        <v>325.15</v>
      </c>
      <c r="D7" s="2" t="n">
        <v>1060</v>
      </c>
      <c r="E7" s="2" t="n">
        <f aca="false">D7*A7/(8.31*C7)</f>
        <v>22.3612428809586</v>
      </c>
      <c r="H7" s="3" t="n">
        <f aca="false">LOG10(D7)</f>
        <v>3.02530586526477</v>
      </c>
      <c r="I7" s="3" t="n">
        <f aca="false">LOG10(C7)</f>
        <v>2.51208375834392</v>
      </c>
      <c r="K7" s="1" t="n">
        <f aca="false">D7/C7</f>
        <v>3.26003383053975</v>
      </c>
      <c r="L7" s="1" t="n">
        <v>5</v>
      </c>
    </row>
    <row r="8" customFormat="false" ht="12.8" hidden="false" customHeight="false" outlineLevel="0" collapsed="false">
      <c r="A8" s="2" t="n">
        <v>57</v>
      </c>
      <c r="B8" s="2" t="n">
        <v>55.5</v>
      </c>
      <c r="C8" s="2" t="n">
        <f aca="false">B8+273.15</f>
        <v>328.65</v>
      </c>
      <c r="D8" s="2" t="n">
        <v>1062</v>
      </c>
      <c r="E8" s="2" t="n">
        <f aca="false">D8*A8/(8.31*C8)</f>
        <v>22.164845684759</v>
      </c>
      <c r="H8" s="3" t="n">
        <f aca="false">LOG10(D8)</f>
        <v>3.02612451674545</v>
      </c>
      <c r="I8" s="3" t="n">
        <f aca="false">LOG10(C8)</f>
        <v>2.51673363661639</v>
      </c>
      <c r="K8" s="1" t="n">
        <f aca="false">D8/C8</f>
        <v>3.23140118667275</v>
      </c>
      <c r="L8" s="1" t="n">
        <v>6</v>
      </c>
    </row>
    <row r="9" customFormat="false" ht="12.8" hidden="false" customHeight="true" outlineLevel="0" collapsed="false">
      <c r="H9" s="3" t="e">
        <f aca="false">LOG10(D2)</f>
        <v>#VALUE!</v>
      </c>
      <c r="I9" s="3" t="e">
        <f aca="false">LOG10(C2)</f>
        <v>#VALUE!</v>
      </c>
      <c r="K9" s="1" t="e">
        <f aca="false">D2/C2</f>
        <v>#DIV/0!</v>
      </c>
      <c r="L9" s="1" t="n">
        <v>7</v>
      </c>
    </row>
    <row r="14" customFormat="false" ht="12.8" hidden="false" customHeight="true" outlineLevel="0" collapsed="false">
      <c r="F14" s="1" t="s">
        <v>10</v>
      </c>
      <c r="G14" s="1" t="n">
        <v>3.46</v>
      </c>
    </row>
    <row r="15" customFormat="false" ht="12.8" hidden="false" customHeight="true" outlineLevel="0" collapsed="false">
      <c r="F15" s="1" t="s">
        <v>4</v>
      </c>
      <c r="G15" s="1" t="n">
        <f aca="false">G14*A4/8.31</f>
        <v>23.7328519855596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473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2025-11-11T10:34:56Z</dcterms:created>
  <dc:creator/>
  <dc:description/>
  <dc:language>en-GB</dc:language>
  <cp:lastModifiedBy/>
  <dcterms:modified xsi:type="dcterms:W3CDTF">2025-12-08T17:31:50Z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