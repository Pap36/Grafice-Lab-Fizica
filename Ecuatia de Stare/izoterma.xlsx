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<sst xmlns="http://schemas.openxmlformats.org/spreadsheetml/2006/main" count="14" uniqueCount="10">
  <si>
    <t xml:space="preserve"> T ( c )</t>
  </si>
  <si>
    <t xml:space="preserve">T(K)</t>
  </si>
  <si>
    <t xml:space="preserve">p(hPa)</t>
  </si>
  <si>
    <t xml:space="preserve">V (ml)</t>
  </si>
  <si>
    <t xml:space="preserve">1/V (ml -1) e-3</t>
  </si>
  <si>
    <t xml:space="preserve">tf</t>
  </si>
  <si>
    <t xml:space="preserve">Tf (K)</t>
  </si>
  <si>
    <t xml:space="preserve">m</t>
  </si>
  <si>
    <t xml:space="preserve">niu x 10 – 3</t>
  </si>
  <si>
    <t xml:space="preserve">niu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</si>
</sst>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5.72"/>
    <col collapsed="false" customWidth="true" hidden="false" outlineLevel="0" max="3" min="3" style="0" width="14.62"/>
    <col collapsed="false" customWidth="true" hidden="false" outlineLevel="0" max="5" min="5" style="0" width="14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  <c r="H1" s="0" t="s">
        <v>6</v>
      </c>
      <c r="I1" s="0" t="s">
        <v>2</v>
      </c>
      <c r="J1" s="0" t="s">
        <v>3</v>
      </c>
      <c r="K1" s="0" t="s">
        <v>4</v>
      </c>
    </row>
    <row r="2" customFormat="false" ht="12.8" hidden="false" customHeight="false" outlineLevel="0" collapsed="false">
      <c r="A2" s="0" t="n">
        <v>22</v>
      </c>
      <c r="B2" s="0" t="n">
        <f aca="false">A2+273.15</f>
        <v>295.15</v>
      </c>
      <c r="C2" s="0" t="n">
        <v>1036</v>
      </c>
      <c r="D2" s="0" t="n">
        <v>55</v>
      </c>
      <c r="E2" s="1" t="n">
        <f aca="false">1/D2 * 1000</f>
        <v>18.1818181818182</v>
      </c>
      <c r="G2" s="0" t="n">
        <v>55.6</v>
      </c>
      <c r="H2" s="0" t="n">
        <f aca="false">G2+273.15</f>
        <v>328.75</v>
      </c>
      <c r="I2" s="0" t="n">
        <v>1038</v>
      </c>
      <c r="J2" s="0" t="n">
        <v>58</v>
      </c>
      <c r="K2" s="1" t="n">
        <f aca="false">1/J2 * 1000</f>
        <v>17.2413793103448</v>
      </c>
    </row>
    <row r="3" customFormat="false" ht="12.8" hidden="false" customHeight="false" outlineLevel="0" collapsed="false">
      <c r="A3" s="0" t="n">
        <v>22</v>
      </c>
      <c r="B3" s="0" t="n">
        <f aca="false">A3+273.15</f>
        <v>295.15</v>
      </c>
      <c r="C3" s="0" t="n">
        <v>1019</v>
      </c>
      <c r="D3" s="0" t="n">
        <v>56</v>
      </c>
      <c r="E3" s="1" t="n">
        <f aca="false">1/D3 * 1000</f>
        <v>17.8571428571429</v>
      </c>
      <c r="G3" s="0" t="n">
        <v>55.6</v>
      </c>
      <c r="H3" s="0" t="n">
        <f aca="false">G3+273.15</f>
        <v>328.75</v>
      </c>
      <c r="I3" s="0" t="n">
        <v>1026</v>
      </c>
      <c r="J3" s="0" t="n">
        <v>59</v>
      </c>
      <c r="K3" s="1" t="n">
        <f aca="false">1/J3 * 1000</f>
        <v>16.9491525423729</v>
      </c>
    </row>
    <row r="4" customFormat="false" ht="12.8" hidden="false" customHeight="false" outlineLevel="0" collapsed="false">
      <c r="A4" s="0" t="n">
        <v>22</v>
      </c>
      <c r="B4" s="0" t="n">
        <f aca="false">A4+273.15</f>
        <v>295.15</v>
      </c>
      <c r="C4" s="0" t="n">
        <v>1002</v>
      </c>
      <c r="D4" s="0" t="n">
        <v>57</v>
      </c>
      <c r="E4" s="1" t="n">
        <f aca="false">1/D4 * 1000</f>
        <v>17.5438596491228</v>
      </c>
      <c r="G4" s="0" t="n">
        <v>55.6</v>
      </c>
      <c r="H4" s="0" t="n">
        <f aca="false">G4+273.15</f>
        <v>328.75</v>
      </c>
      <c r="I4" s="0" t="n">
        <v>1004</v>
      </c>
      <c r="J4" s="0" t="n">
        <v>60</v>
      </c>
      <c r="K4" s="1" t="n">
        <f aca="false">1/J4 * 1000</f>
        <v>16.6666666666667</v>
      </c>
    </row>
    <row r="5" customFormat="false" ht="12.8" hidden="false" customHeight="false" outlineLevel="0" collapsed="false">
      <c r="A5" s="0" t="n">
        <v>22</v>
      </c>
      <c r="B5" s="0" t="n">
        <f aca="false">A5+273.15</f>
        <v>295.15</v>
      </c>
      <c r="C5" s="0" t="n">
        <v>986</v>
      </c>
      <c r="D5" s="0" t="n">
        <v>58</v>
      </c>
      <c r="E5" s="1" t="n">
        <f aca="false">1/D5 * 1000</f>
        <v>17.2413793103448</v>
      </c>
      <c r="G5" s="0" t="n">
        <v>55.6</v>
      </c>
      <c r="H5" s="0" t="n">
        <f aca="false">G5+273.15</f>
        <v>328.75</v>
      </c>
      <c r="I5" s="0" t="n">
        <v>987</v>
      </c>
      <c r="J5" s="0" t="n">
        <v>61</v>
      </c>
      <c r="K5" s="1" t="n">
        <f aca="false">1/J5 * 1000</f>
        <v>16.3934426229508</v>
      </c>
    </row>
    <row r="6" customFormat="false" ht="12.8" hidden="false" customHeight="false" outlineLevel="0" collapsed="false">
      <c r="A6" s="0" t="n">
        <v>22</v>
      </c>
      <c r="B6" s="0" t="n">
        <f aca="false">A6+273.15</f>
        <v>295.15</v>
      </c>
      <c r="C6" s="0" t="n">
        <v>973</v>
      </c>
      <c r="D6" s="0" t="n">
        <v>59</v>
      </c>
      <c r="E6" s="1" t="n">
        <f aca="false">1/D6 * 1000</f>
        <v>16.9491525423729</v>
      </c>
      <c r="G6" s="0" t="n">
        <v>55.6</v>
      </c>
      <c r="H6" s="0" t="n">
        <f aca="false">G6+273.15</f>
        <v>328.75</v>
      </c>
      <c r="I6" s="0" t="n">
        <v>975</v>
      </c>
      <c r="J6" s="0" t="n">
        <v>62</v>
      </c>
      <c r="K6" s="1" t="n">
        <f aca="false">1/J6 * 1000</f>
        <v>16.1290322580645</v>
      </c>
    </row>
    <row r="17" customFormat="false" ht="12.8" hidden="false" customHeight="false" outlineLevel="0" collapsed="false">
      <c r="A17" s="0" t="s">
        <v>7</v>
      </c>
      <c r="B17" s="0" t="n">
        <v>51.63</v>
      </c>
      <c r="F17" s="0" t="s">
        <v>7</v>
      </c>
      <c r="G17" s="0" t="n">
        <v>59.35</v>
      </c>
    </row>
    <row r="18" customFormat="false" ht="12.8" hidden="false" customHeight="false" outlineLevel="0" collapsed="false">
      <c r="A18" s="0" t="s">
        <v>8</v>
      </c>
      <c r="B18" s="0" t="n">
        <f aca="false">B17/(8.31*B2)*1000</f>
        <v>21.0503011685302</v>
      </c>
      <c r="C18" s="2"/>
      <c r="F18" s="0" t="s">
        <v>9</v>
      </c>
      <c r="G18" s="0" t="n">
        <f aca="false">G17/(8.31*H3) * 1000</f>
        <v>21.7247075080186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2025-11-11T10:23:10Z</dcterms:created>
  <dc:creator/>
  <dc:description/>
  <dc:language>en-GB</dc:language>
  <cp:lastModifiedBy/>
  <dcterms:modified xsi:type="dcterms:W3CDTF">2025-11-11T13:02:23Z</dcterms:modified>
  <cp:revision>6</cp:revision>
  <dc:subject/>
  <dc:title/>
</cp:coreProperties>
</file>