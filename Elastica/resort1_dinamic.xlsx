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<sst xmlns="http://schemas.openxmlformats.org/spreadsheetml/2006/main" count="9" uniqueCount="9">
  <si>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m</t>
  </si>
  <si>
    <t xml:space="preserve">m_kg</t>
  </si>
  <si>
    <t xml:space="preserve">T_10</t>
  </si>
  <si>
    <t xml:space="preserve">T</t>
  </si>
  <si>
    <t xml:space="preserve">T^2</t>
  </si>
  <si>
    <t xml:space="preserve">k</t>
  </si>
  <si>
    <t xml:space="preserve">k_med</t>
  </si>
  <si>
    <t xml:space="preserve">alfa</t>
  </si>
  <si>
    <t xml:space="preserve">k_grafic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</si>
</sst>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</row>
    <row r="2" customFormat="false" ht="12.8" hidden="false" customHeight="false" outlineLevel="0" collapsed="false">
      <c r="A2" s="1" t="n">
        <v>80</v>
      </c>
      <c r="B2" s="1" t="n">
        <f aca="false">A2/1000</f>
        <v>0.08</v>
      </c>
      <c r="C2" s="2" t="n">
        <v>3.83</v>
      </c>
      <c r="D2" s="2" t="n">
        <f aca="false">C2/9</f>
        <v>0.425555555555556</v>
      </c>
      <c r="E2" s="2" t="n">
        <f aca="false">D2*D2</f>
        <v>0.181097530864198</v>
      </c>
      <c r="F2" s="2" t="n">
        <f aca="false">4*PI()^2*B2/E2</f>
        <v>17.4396271074338</v>
      </c>
      <c r="G2" s="3" t="n">
        <f aca="false">AVERAGE(F2:F6)</f>
        <v>16.5725748838209</v>
      </c>
      <c r="H2" s="2"/>
      <c r="I2" s="3" t="n">
        <v>2.38</v>
      </c>
      <c r="J2" s="3" t="n">
        <f aca="false">4*PI()^2/I2</f>
        <v>16.5875704219989</v>
      </c>
    </row>
    <row r="3" customFormat="false" ht="12.8" hidden="false" customHeight="false" outlineLevel="0" collapsed="false">
      <c r="A3" s="1" t="n">
        <v>90</v>
      </c>
      <c r="B3" s="1" t="n">
        <f aca="false">A3/1000</f>
        <v>0.09</v>
      </c>
      <c r="C3" s="2" t="n">
        <v>4.26</v>
      </c>
      <c r="D3" s="2" t="n">
        <f aca="false">C3/9</f>
        <v>0.473333333333333</v>
      </c>
      <c r="E3" s="2" t="n">
        <f aca="false">D3*D3</f>
        <v>0.224044444444444</v>
      </c>
      <c r="F3" s="2" t="n">
        <f aca="false">4*PI()^2*B3/E3</f>
        <v>15.8587176450751</v>
      </c>
      <c r="G3" s="3"/>
      <c r="H3" s="2"/>
      <c r="I3" s="3"/>
      <c r="J3" s="3"/>
    </row>
    <row r="4" customFormat="false" ht="12.8" hidden="false" customHeight="false" outlineLevel="0" collapsed="false">
      <c r="A4" s="1" t="n">
        <v>100</v>
      </c>
      <c r="B4" s="1" t="n">
        <f aca="false">A4/1000</f>
        <v>0.1</v>
      </c>
      <c r="C4" s="2" t="n">
        <v>4.49</v>
      </c>
      <c r="D4" s="2" t="n">
        <f aca="false">C4/9</f>
        <v>0.498888888888889</v>
      </c>
      <c r="E4" s="2" t="n">
        <f aca="false">D4*D4</f>
        <v>0.24889012345679</v>
      </c>
      <c r="F4" s="2" t="n">
        <f aca="false">4*PI()^2*B4/E4</f>
        <v>15.8617855365447</v>
      </c>
      <c r="G4" s="3"/>
      <c r="H4" s="2"/>
      <c r="I4" s="3"/>
      <c r="J4" s="3"/>
    </row>
    <row r="5" customFormat="false" ht="12.8" hidden="false" customHeight="false" outlineLevel="0" collapsed="false">
      <c r="A5" s="1" t="n">
        <v>110</v>
      </c>
      <c r="B5" s="1" t="n">
        <f aca="false">A5/1000</f>
        <v>0.11</v>
      </c>
      <c r="C5" s="2" t="n">
        <v>4.6</v>
      </c>
      <c r="D5" s="2" t="n">
        <f aca="false">C5/9</f>
        <v>0.511111111111111</v>
      </c>
      <c r="E5" s="2" t="n">
        <f aca="false">D5*D5</f>
        <v>0.261234567901235</v>
      </c>
      <c r="F5" s="2" t="n">
        <f aca="false">4*PI()^2*B5/E5</f>
        <v>16.6234735753698</v>
      </c>
      <c r="G5" s="3"/>
      <c r="H5" s="2"/>
      <c r="I5" s="3"/>
      <c r="J5" s="3"/>
    </row>
    <row r="6" customFormat="false" ht="12.8" hidden="false" customHeight="false" outlineLevel="0" collapsed="false">
      <c r="A6" s="1" t="n">
        <v>120</v>
      </c>
      <c r="B6" s="1" t="n">
        <f aca="false">A6/1000</f>
        <v>0.12</v>
      </c>
      <c r="C6" s="2" t="n">
        <v>4.74</v>
      </c>
      <c r="D6" s="2" t="n">
        <f aca="false">C6/9</f>
        <v>0.526666666666667</v>
      </c>
      <c r="E6" s="2" t="n">
        <f aca="false">D6*D6</f>
        <v>0.277377777777778</v>
      </c>
      <c r="F6" s="2" t="n">
        <f aca="false">4*PI()^2*B6/E6</f>
        <v>17.0792705546812</v>
      </c>
      <c r="G6" s="3"/>
      <c r="H6" s="2"/>
      <c r="I6" s="3"/>
      <c r="J6" s="3"/>
    </row>
    <row r="7" customFormat="false" ht="12.8" hidden="false" customHeight="true" outlineLevel="0" collapsed="false">
      <c r="A7" s="0" t="n">
        <v>0</v>
      </c>
      <c r="B7" s="0" t="n">
        <v>0</v>
      </c>
      <c r="E7" s="0" t="n">
        <v>0</v>
      </c>
    </row>
  </sheetData>
  <mergeCells count="3">
    <mergeCell ref="G2:G6"/>
    <mergeCell ref="I2:I6"/>
    <mergeCell ref="J2:J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2025-11-25T12:44:17Z</dcterms:created>
  <dc:creator/>
  <dc:description/>
  <dc:language>en-GB</dc:language>
  <cp:lastModifiedBy/>
  <dcterms:modified xsi:type="dcterms:W3CDTF">2025-12-01T21:46:09Z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