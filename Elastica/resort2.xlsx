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<sst xmlns="http://schemas.openxmlformats.org/spreadsheetml/2006/main" count="7" uniqueCount="7">
  <si>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m(g) + 50</t>
  </si>
  <si>
    <t xml:space="preserve">l0</t>
  </si>
  <si>
    <t xml:space="preserve">l</t>
  </si>
  <si>
    <t xml:space="preserve">k</t>
  </si>
  <si>
    <t xml:space="preserve">K_med</t>
  </si>
  <si>
    <t xml:space="preserve">G</t>
  </si>
  <si>
    <t xml:space="preserve">delta 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</si>
</sst>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4.0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10</v>
      </c>
      <c r="B2" s="1" t="n">
        <v>23</v>
      </c>
      <c r="C2" s="1" t="n">
        <v>50</v>
      </c>
      <c r="D2" s="2" t="n">
        <f aca="false">A2*9.81/(C2 - B2)</f>
        <v>3.63333333333333</v>
      </c>
      <c r="E2" s="3" t="n">
        <f aca="false">AVERAGE(D2:D6)</f>
        <v>3.58297153232093</v>
      </c>
      <c r="F2" s="2" t="n">
        <f aca="false">A2*9.81 / 1000</f>
        <v>0.0981</v>
      </c>
      <c r="G2" s="1" t="n">
        <f aca="false">(C2-B2) / 1000</f>
        <v>0.027</v>
      </c>
    </row>
    <row r="3" customFormat="false" ht="12.8" hidden="false" customHeight="false" outlineLevel="0" collapsed="false">
      <c r="A3" s="1" t="n">
        <v>20</v>
      </c>
      <c r="B3" s="1" t="n">
        <v>23</v>
      </c>
      <c r="C3" s="1" t="n">
        <v>78</v>
      </c>
      <c r="D3" s="2" t="n">
        <f aca="false">A2*9.81/(C2 - B2)</f>
        <v>3.63333333333333</v>
      </c>
      <c r="E3" s="3"/>
      <c r="F3" s="2" t="n">
        <f aca="false">A3*9.81 / 1000</f>
        <v>0.1962</v>
      </c>
      <c r="G3" s="1" t="n">
        <f aca="false">(C3-B3) / 1000</f>
        <v>0.055</v>
      </c>
    </row>
    <row r="4" customFormat="false" ht="12.8" hidden="false" customHeight="false" outlineLevel="0" collapsed="false">
      <c r="A4" s="1" t="n">
        <v>30</v>
      </c>
      <c r="B4" s="1" t="n">
        <v>23</v>
      </c>
      <c r="C4" s="1" t="n">
        <v>106</v>
      </c>
      <c r="D4" s="2" t="n">
        <f aca="false">A3*9.81/(C3 - B3)</f>
        <v>3.56727272727273</v>
      </c>
      <c r="E4" s="3"/>
      <c r="F4" s="2" t="n">
        <f aca="false">A4*9.81 / 1000</f>
        <v>0.2943</v>
      </c>
      <c r="G4" s="1" t="n">
        <f aca="false">(C4-B4) / 1000</f>
        <v>0.083</v>
      </c>
    </row>
    <row r="5" customFormat="false" ht="12.8" hidden="false" customHeight="false" outlineLevel="0" collapsed="false">
      <c r="A5" s="1" t="n">
        <v>40</v>
      </c>
      <c r="B5" s="1" t="n">
        <v>23</v>
      </c>
      <c r="C5" s="1" t="n">
        <v>134</v>
      </c>
      <c r="D5" s="2" t="n">
        <f aca="false">A4*9.81/(C4 - B4)</f>
        <v>3.54578313253012</v>
      </c>
      <c r="E5" s="3"/>
      <c r="F5" s="2" t="n">
        <f aca="false">A5*9.81 / 1000</f>
        <v>0.3924</v>
      </c>
      <c r="G5" s="1" t="n">
        <f aca="false">(C5-B5) / 1000</f>
        <v>0.111</v>
      </c>
    </row>
    <row r="6" customFormat="false" ht="12.8" hidden="false" customHeight="false" outlineLevel="0" collapsed="false">
      <c r="A6" s="1" t="n">
        <v>50</v>
      </c>
      <c r="B6" s="1" t="n">
        <v>23</v>
      </c>
      <c r="C6" s="1" t="n">
        <v>162</v>
      </c>
      <c r="D6" s="2" t="n">
        <f aca="false">A5*9.81/(C5 - B5)</f>
        <v>3.53513513513514</v>
      </c>
      <c r="E6" s="3"/>
      <c r="F6" s="2" t="n">
        <f aca="false">A6*9.81 / 1000</f>
        <v>0.4905</v>
      </c>
      <c r="G6" s="1" t="n">
        <f aca="false">(C6-B6) / 1000</f>
        <v>0.139</v>
      </c>
    </row>
    <row r="7" customFormat="false" ht="12.8" hidden="false" customHeight="true" outlineLevel="0" collapsed="false">
      <c r="F7" s="0" t="n">
        <v>0</v>
      </c>
      <c r="G7" s="0" t="n">
        <v>0</v>
      </c>
    </row>
  </sheetData>
  <mergeCells count="1">
    <mergeCell ref="E2:E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2025-11-25T12:24:14Z</dcterms:created>
  <dc:creator/>
  <dc:description/>
  <dc:language>en-GB</dc:language>
  <cp:lastModifiedBy/>
  <dcterms:modified xsi:type="dcterms:W3CDTF">2025-12-01T21:29:27Z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