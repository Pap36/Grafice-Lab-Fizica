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<sst xmlns="http://schemas.openxmlformats.org/spreadsheetml/2006/main" count="14" uniqueCount="14">
  <si>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tia</t>
  </si>
  <si>
    <t xml:space="preserve">tig</t>
  </si>
  <si>
    <t xml:space="preserve">ta</t>
  </si>
  <si>
    <t xml:space="preserve">tg</t>
  </si>
  <si>
    <t xml:space="preserve">delta ta</t>
  </si>
  <si>
    <t xml:space="preserve">delta tg</t>
  </si>
  <si>
    <t xml:space="preserve">c2</t>
  </si>
  <si>
    <t xml:space="preserve">c_med</t>
  </si>
  <si>
    <t xml:space="preserve">delta ta med</t>
  </si>
  <si>
    <t xml:space="preserve">delta tg med</t>
  </si>
  <si>
    <t xml:space="preserve">ma</t>
  </si>
  <si>
    <t xml:space="preserve">mg</t>
  </si>
  <si>
    <t xml:space="preserve">ca</t>
  </si>
  <si>
    <t xml:space="preserve">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</si>
</sst>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8" min="8" style="0" width="9.22"/>
  </cols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</row>
    <row r="2" customFormat="false" ht="12.8" hidden="false" customHeight="false" outlineLevel="0" collapsed="false">
      <c r="A2" s="0" t="n">
        <v>20</v>
      </c>
      <c r="B2" s="0" t="n">
        <v>22.5</v>
      </c>
      <c r="D2" s="0" t="n">
        <v>23</v>
      </c>
      <c r="E2" s="0" t="n">
        <v>26.5</v>
      </c>
      <c r="F2" s="0" t="n">
        <f aca="false">D2-$A$2</f>
        <v>3</v>
      </c>
      <c r="G2" s="0" t="n">
        <f aca="false">E2-$B$2</f>
        <v>4</v>
      </c>
      <c r="H2" s="1" t="n">
        <f aca="false">($A$12*$C$12+$D$12)*F2/($B$12 * G2) - $D$12/$B$12</f>
        <v>2553.32202505219</v>
      </c>
      <c r="I2" s="2" t="n">
        <f aca="false">AVERAGE(H2:H8)</f>
        <v>2700.24231040608</v>
      </c>
      <c r="J2" s="2" t="n">
        <f aca="false">AVERAGE(F2:F8)</f>
        <v>9.14285714285714</v>
      </c>
      <c r="K2" s="2" t="n">
        <f aca="false">AVERAGE(G2:G8)</f>
        <v>11.3571428571429</v>
      </c>
    </row>
    <row r="3" customFormat="false" ht="12.8" hidden="false" customHeight="false" outlineLevel="0" collapsed="false">
      <c r="D3" s="0" t="n">
        <v>25</v>
      </c>
      <c r="E3" s="0" t="n">
        <v>29.5</v>
      </c>
      <c r="F3" s="0" t="n">
        <f aca="false">D3-$A$2</f>
        <v>5</v>
      </c>
      <c r="G3" s="0" t="n">
        <f aca="false">E3-$B$2</f>
        <v>7</v>
      </c>
      <c r="H3" s="1" t="n">
        <f aca="false">($A$12*$C$12+$D$12)*F3/($B$12 * G3) - $D$12/$B$12</f>
        <v>2421.29436325679</v>
      </c>
      <c r="I3" s="2"/>
      <c r="J3" s="2"/>
      <c r="K3" s="2"/>
    </row>
    <row r="4" customFormat="false" ht="12.8" hidden="false" customHeight="false" outlineLevel="0" collapsed="false">
      <c r="D4" s="0" t="n">
        <v>28</v>
      </c>
      <c r="E4" s="0" t="n">
        <v>33</v>
      </c>
      <c r="F4" s="0" t="n">
        <f aca="false">D4-$A$2</f>
        <v>8</v>
      </c>
      <c r="G4" s="0" t="n">
        <f aca="false">E4-$B$2</f>
        <v>10.5</v>
      </c>
      <c r="H4" s="1" t="n">
        <f aca="false">($A$12*$C$12+$D$12)*F4/($B$12 * G4) - $D$12/$B$12</f>
        <v>2597.33124565066</v>
      </c>
      <c r="I4" s="2"/>
      <c r="J4" s="2"/>
      <c r="K4" s="2"/>
    </row>
    <row r="5" customFormat="false" ht="12.8" hidden="false" customHeight="false" outlineLevel="0" collapsed="false">
      <c r="D5" s="0" t="n">
        <v>30</v>
      </c>
      <c r="E5" s="0" t="n">
        <v>35</v>
      </c>
      <c r="F5" s="0" t="n">
        <f aca="false">D5-$A$2</f>
        <v>10</v>
      </c>
      <c r="G5" s="0" t="n">
        <f aca="false">E5-$B$2</f>
        <v>12.5</v>
      </c>
      <c r="H5" s="1" t="n">
        <f aca="false">($A$12*$C$12+$D$12)*F5/($B$12 * G5) - $D$12/$B$12</f>
        <v>2738.16075156576</v>
      </c>
      <c r="I5" s="2"/>
      <c r="J5" s="2"/>
      <c r="K5" s="2"/>
    </row>
    <row r="6" customFormat="false" ht="12.8" hidden="false" customHeight="false" outlineLevel="0" collapsed="false">
      <c r="D6" s="0" t="n">
        <v>31</v>
      </c>
      <c r="E6" s="0" t="n">
        <v>36</v>
      </c>
      <c r="F6" s="0" t="n">
        <f aca="false">D6-$A$2</f>
        <v>11</v>
      </c>
      <c r="G6" s="0" t="n">
        <f aca="false">E6-$B$2</f>
        <v>13.5</v>
      </c>
      <c r="H6" s="1" t="n">
        <f aca="false">($A$12*$C$12+$D$12)*F6/($B$12 * G6) - $D$12/$B$12</f>
        <v>2792.92778164386</v>
      </c>
      <c r="I6" s="2"/>
      <c r="J6" s="2"/>
      <c r="K6" s="2"/>
    </row>
    <row r="7" customFormat="false" ht="12.8" hidden="false" customHeight="false" outlineLevel="0" collapsed="false">
      <c r="D7" s="0" t="n">
        <v>33</v>
      </c>
      <c r="E7" s="0" t="n">
        <v>38</v>
      </c>
      <c r="F7" s="0" t="n">
        <f aca="false">D7-$A$2</f>
        <v>13</v>
      </c>
      <c r="G7" s="0" t="n">
        <f aca="false">E7-$B$2</f>
        <v>15.5</v>
      </c>
      <c r="H7" s="1" t="n">
        <f aca="false">($A$12*$C$12+$D$12)*F7/($B$12 * G7) - $D$12/$B$12</f>
        <v>2881.26170112466</v>
      </c>
      <c r="I7" s="2"/>
      <c r="J7" s="2"/>
      <c r="K7" s="2"/>
    </row>
    <row r="8" customFormat="false" ht="12.8" hidden="false" customHeight="false" outlineLevel="0" collapsed="false">
      <c r="D8" s="0" t="n">
        <v>34</v>
      </c>
      <c r="E8" s="0" t="n">
        <v>39</v>
      </c>
      <c r="F8" s="0" t="n">
        <f aca="false">D8-$A$2</f>
        <v>14</v>
      </c>
      <c r="G8" s="0" t="n">
        <f aca="false">E8-$B$2</f>
        <v>16.5</v>
      </c>
      <c r="H8" s="1" t="n">
        <f aca="false">($A$12*$C$12+$D$12)*F8/($B$12 * G8) - $D$12/$B$12</f>
        <v>2917.39830454862</v>
      </c>
      <c r="I8" s="2"/>
      <c r="J8" s="2"/>
      <c r="K8" s="2"/>
    </row>
    <row r="11" customFormat="false" ht="12.8" hidden="false" customHeight="false" outlineLevel="0" collapsed="false">
      <c r="A11" s="0" t="s">
        <v>10</v>
      </c>
      <c r="B11" s="0" t="s">
        <v>11</v>
      </c>
      <c r="C11" s="0" t="s">
        <v>12</v>
      </c>
      <c r="D11" s="0" t="s">
        <v>13</v>
      </c>
    </row>
    <row r="12" customFormat="false" ht="12.8" hidden="false" customHeight="false" outlineLevel="0" collapsed="false">
      <c r="A12" s="0" t="n">
        <v>0.1594</v>
      </c>
      <c r="B12" s="0" t="n">
        <v>0.1916</v>
      </c>
      <c r="C12" s="0" t="n">
        <v>4180</v>
      </c>
      <c r="D12" s="0" t="n">
        <v>42.01</v>
      </c>
    </row>
  </sheetData>
  <mergeCells count="3">
    <mergeCell ref="I2:I8"/>
    <mergeCell ref="J2:J8"/>
    <mergeCell ref="K2:K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2025-12-16T10:22:18Z</dcterms:created>
  <dc:creator/>
  <dc:description/>
  <dc:language>en-GB</dc:language>
  <cp:lastModifiedBy/>
  <dcterms:modified xsi:type="dcterms:W3CDTF">2025-12-16T11:01:59Z</dcterms:modified>
  <cp:revision>1</cp:revision>
  <dc:subject/>
  <dc:title/>
</cp:coreProperties>
</file>