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xwell" sheetId="1" state="visible" r:id="rId3"/>
    <sheet name="Me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<sst xmlns="http://schemas.openxmlformats.org/spreadsheetml/2006/main" count="13" uniqueCount="13">
  <si>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c_mid_m_per_s</t>
  </si>
  <si>
    <t xml:space="preserve">count</t>
  </si>
  <si>
    <t xml:space="preserve">F_exp_s_per_m</t>
  </si>
  <si>
    <t xml:space="preserve">F_theory_s_per_m</t>
  </si>
  <si>
    <t xml:space="preserve">&lt;c&gt;</t>
  </si>
  <si>
    <t xml:space="preserve">exp</t>
  </si>
  <si>
    <t xml:space="preserve">th rad pi / 2</t>
  </si>
  <si>
    <t xml:space="preserve">c*n</t>
  </si>
  <si>
    <t xml:space="preserve">parameter</t>
  </si>
  <si>
    <t xml:space="preserve">value</t>
  </si>
  <si>
    <t xml:space="preserve">c_w</t>
  </si>
  <si>
    <t xml:space="preserve">delta_c</t>
  </si>
  <si>
    <t xml:space="preserve">total_balls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</si>
</sst>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FFFFFF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27.64"/>
    <col collapsed="false" customWidth="true" hidden="false" outlineLevel="0" max="2" min="2" style="0" width="18.33"/>
    <col collapsed="false" customWidth="true" hidden="false" outlineLevel="0" max="3" min="3" style="0" width="27.23"/>
    <col collapsed="false" customWidth="true" hidden="false" outlineLevel="0" max="4" min="4" style="0" width="26.84"/>
    <col collapsed="false" customWidth="true" hidden="false" outlineLevel="0" max="6" min="6" style="0" width="11.01"/>
    <col collapsed="false" customWidth="true" hidden="false" outlineLevel="0" max="7" min="7" style="0" width="10.8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customFormat="false" ht="15" hidden="false" customHeight="false" outlineLevel="0" collapsed="false">
      <c r="A2" s="2" t="n">
        <v>0.078</v>
      </c>
      <c r="B2" s="2" t="n">
        <v>11</v>
      </c>
      <c r="C2" s="2" t="n">
        <f aca="false">B2/SUM($B$2:$B$25)*1/0.078</f>
        <v>0.390652745223382</v>
      </c>
      <c r="D2" s="2"/>
      <c r="E2" s="2" t="n">
        <f aca="false">SUM(H2:H23)/SUM(B2:B25)</f>
        <v>0.453523545706371</v>
      </c>
      <c r="F2" s="2" t="n">
        <f aca="false">A6/E2</f>
        <v>0.859933301572177</v>
      </c>
      <c r="G2" s="2" t="n">
        <f aca="false">SQRT(PI())/2</f>
        <v>0.886226925452758</v>
      </c>
      <c r="H2" s="2" t="n">
        <f aca="false">A2*B2</f>
        <v>0.858</v>
      </c>
      <c r="I2" s="2"/>
    </row>
    <row r="3" customFormat="false" ht="15" hidden="false" customHeight="false" outlineLevel="0" collapsed="false">
      <c r="A3" s="2" t="n">
        <f aca="false">$A$2*2</f>
        <v>0.156</v>
      </c>
      <c r="B3" s="2" t="n">
        <v>25</v>
      </c>
      <c r="C3" s="2" t="n">
        <f aca="false">B3/SUM($B$2:$B$25)*1/0.078</f>
        <v>0.88784714823496</v>
      </c>
      <c r="D3" s="2"/>
      <c r="F3" s="2"/>
      <c r="G3" s="2"/>
      <c r="H3" s="2" t="n">
        <f aca="false">A3*B3</f>
        <v>3.9</v>
      </c>
      <c r="I3" s="2"/>
    </row>
    <row r="4" customFormat="false" ht="15" hidden="false" customHeight="false" outlineLevel="0" collapsed="false">
      <c r="A4" s="2" t="n">
        <f aca="false">A3+$A$2</f>
        <v>0.234</v>
      </c>
      <c r="B4" s="2" t="n">
        <v>37</v>
      </c>
      <c r="C4" s="2" t="n">
        <f aca="false">B4/SUM($B$2:$B$25)*1/0.078</f>
        <v>1.31401377938774</v>
      </c>
      <c r="D4" s="2"/>
      <c r="F4" s="2"/>
      <c r="G4" s="2"/>
      <c r="H4" s="2" t="n">
        <f aca="false">A4*B4</f>
        <v>8.658</v>
      </c>
      <c r="I4" s="2"/>
    </row>
    <row r="5" customFormat="false" ht="15" hidden="false" customHeight="false" outlineLevel="0" collapsed="false">
      <c r="A5" s="2" t="n">
        <f aca="false">A4+$A$2</f>
        <v>0.312</v>
      </c>
      <c r="B5" s="2" t="n">
        <v>54</v>
      </c>
      <c r="C5" s="2" t="n">
        <f aca="false">B5/SUM($B$2:$B$25)*1/0.078</f>
        <v>1.91774984018751</v>
      </c>
      <c r="D5" s="2"/>
      <c r="F5" s="2"/>
      <c r="G5" s="2"/>
      <c r="H5" s="2" t="n">
        <f aca="false">A5*B5</f>
        <v>16.848</v>
      </c>
      <c r="I5" s="2"/>
    </row>
    <row r="6" customFormat="false" ht="15" hidden="false" customHeight="false" outlineLevel="0" collapsed="false">
      <c r="A6" s="2" t="n">
        <f aca="false">A5+$A$2</f>
        <v>0.39</v>
      </c>
      <c r="B6" s="2" t="n">
        <v>60</v>
      </c>
      <c r="C6" s="2" t="n">
        <f aca="false">B6/SUM($B$2:$B$25)*1/0.078</f>
        <v>2.1308331557639</v>
      </c>
      <c r="D6" s="2"/>
      <c r="H6" s="2" t="n">
        <f aca="false">A6*B6</f>
        <v>23.4</v>
      </c>
    </row>
    <row r="7" customFormat="false" ht="15" hidden="false" customHeight="false" outlineLevel="0" collapsed="false">
      <c r="A7" s="2" t="n">
        <f aca="false">A6+$A$2</f>
        <v>0.468</v>
      </c>
      <c r="B7" s="2" t="n">
        <v>49</v>
      </c>
      <c r="C7" s="2" t="n">
        <f aca="false">B7/SUM($B$2:$B$25)*1/0.078</f>
        <v>1.74018041054052</v>
      </c>
      <c r="D7" s="2"/>
      <c r="H7" s="2" t="n">
        <f aca="false">A7*B7</f>
        <v>22.932</v>
      </c>
    </row>
    <row r="8" customFormat="false" ht="15" hidden="false" customHeight="false" outlineLevel="0" collapsed="false">
      <c r="A8" s="2" t="n">
        <f aca="false">A7+$A$2</f>
        <v>0.546</v>
      </c>
      <c r="B8" s="2" t="n">
        <v>45</v>
      </c>
      <c r="C8" s="2" t="n">
        <f aca="false">B8/SUM($B$2:$B$25)*1/0.078</f>
        <v>1.59812486682293</v>
      </c>
      <c r="D8" s="2"/>
      <c r="H8" s="2" t="n">
        <f aca="false">A8*B8</f>
        <v>24.57</v>
      </c>
    </row>
    <row r="9" customFormat="false" ht="15" hidden="false" customHeight="false" outlineLevel="0" collapsed="false">
      <c r="A9" s="2" t="n">
        <f aca="false">A8+$A$2</f>
        <v>0.624</v>
      </c>
      <c r="B9" s="2" t="n">
        <v>31</v>
      </c>
      <c r="C9" s="2" t="n">
        <f aca="false">B9/SUM($B$2:$B$25)*1/0.078</f>
        <v>1.10093046381135</v>
      </c>
      <c r="D9" s="2"/>
      <c r="H9" s="2" t="n">
        <f aca="false">A9*B9</f>
        <v>19.344</v>
      </c>
    </row>
    <row r="10" customFormat="false" ht="15" hidden="false" customHeight="false" outlineLevel="0" collapsed="false">
      <c r="A10" s="2" t="n">
        <f aca="false">A9+$A$2</f>
        <v>0.702</v>
      </c>
      <c r="B10" s="2" t="n">
        <v>15</v>
      </c>
      <c r="C10" s="2" t="n">
        <f aca="false">B10/SUM($B$2:$B$25)*1/0.078</f>
        <v>0.532708288940976</v>
      </c>
      <c r="D10" s="2"/>
      <c r="H10" s="2" t="n">
        <f aca="false">A10*B10</f>
        <v>10.53</v>
      </c>
    </row>
    <row r="11" customFormat="false" ht="15" hidden="false" customHeight="false" outlineLevel="0" collapsed="false">
      <c r="A11" s="2" t="n">
        <f aca="false">A10+$A$2</f>
        <v>0.78</v>
      </c>
      <c r="B11" s="2" t="n">
        <v>11</v>
      </c>
      <c r="C11" s="2" t="n">
        <f aca="false">B11/SUM($B$2:$B$25)*1/0.078</f>
        <v>0.390652745223382</v>
      </c>
      <c r="D11" s="2"/>
      <c r="H11" s="2" t="n">
        <f aca="false">A11*B11</f>
        <v>8.58</v>
      </c>
    </row>
    <row r="12" customFormat="false" ht="15" hidden="false" customHeight="false" outlineLevel="0" collapsed="false">
      <c r="A12" s="2" t="n">
        <f aca="false">A11+$A$2</f>
        <v>0.858</v>
      </c>
      <c r="B12" s="2" t="n">
        <v>9</v>
      </c>
      <c r="C12" s="2" t="n">
        <f aca="false">B12/SUM($B$2:$B$25)*1/0.078</f>
        <v>0.319624973364586</v>
      </c>
      <c r="D12" s="2"/>
      <c r="H12" s="2" t="n">
        <f aca="false">A12*B12</f>
        <v>7.722</v>
      </c>
    </row>
    <row r="13" customFormat="false" ht="15" hidden="false" customHeight="false" outlineLevel="0" collapsed="false">
      <c r="A13" s="2" t="n">
        <f aca="false">A12+$A$2</f>
        <v>0.936</v>
      </c>
      <c r="B13" s="2" t="n">
        <v>1</v>
      </c>
      <c r="C13" s="2" t="n">
        <f aca="false">B13/SUM($B$2:$B$25)*1/0.078</f>
        <v>0.0355138859293984</v>
      </c>
      <c r="D13" s="2"/>
      <c r="H13" s="2" t="n">
        <f aca="false">A13*B13</f>
        <v>0.936</v>
      </c>
    </row>
    <row r="14" customFormat="false" ht="15" hidden="false" customHeight="false" outlineLevel="0" collapsed="false">
      <c r="A14" s="2" t="n">
        <f aca="false">A13+$A$2</f>
        <v>1.014</v>
      </c>
      <c r="B14" s="2" t="n">
        <v>3</v>
      </c>
      <c r="C14" s="2" t="n">
        <f aca="false">B14/SUM($B$2:$B$25)*1/0.078</f>
        <v>0.106541657788195</v>
      </c>
      <c r="D14" s="2"/>
      <c r="H14" s="2" t="n">
        <f aca="false">A14*B14</f>
        <v>3.042</v>
      </c>
    </row>
    <row r="15" customFormat="false" ht="15" hidden="false" customHeight="false" outlineLevel="0" collapsed="false">
      <c r="A15" s="2" t="n">
        <f aca="false">A14+$A$2</f>
        <v>1.092</v>
      </c>
      <c r="B15" s="2" t="n">
        <v>2</v>
      </c>
      <c r="C15" s="2" t="n">
        <f aca="false">B15/SUM($B$2:$B$25)*1/0.078</f>
        <v>0.0710277718587968</v>
      </c>
      <c r="D15" s="2"/>
      <c r="H15" s="2" t="n">
        <f aca="false">A15*B15</f>
        <v>2.184</v>
      </c>
    </row>
    <row r="16" customFormat="false" ht="15" hidden="false" customHeight="false" outlineLevel="0" collapsed="false">
      <c r="A16" s="2" t="n">
        <f aca="false">A15+$A$2</f>
        <v>1.17</v>
      </c>
      <c r="B16" s="2" t="n">
        <v>4</v>
      </c>
      <c r="C16" s="2" t="n">
        <f aca="false">B16/SUM($B$2:$B$25)*1/0.078</f>
        <v>0.142055543717594</v>
      </c>
      <c r="D16" s="2"/>
      <c r="H16" s="2" t="n">
        <f aca="false">A16*B16</f>
        <v>4.68</v>
      </c>
    </row>
    <row r="17" customFormat="false" ht="15" hidden="false" customHeight="false" outlineLevel="0" collapsed="false">
      <c r="A17" s="2" t="n">
        <f aca="false">A16+$A$2</f>
        <v>1.248</v>
      </c>
      <c r="B17" s="2" t="n">
        <v>0</v>
      </c>
      <c r="C17" s="2" t="n">
        <f aca="false">B17/SUM($B$2:$B$25)*1/0.078</f>
        <v>0</v>
      </c>
      <c r="D17" s="2"/>
      <c r="H17" s="2" t="n">
        <f aca="false">A17*B17</f>
        <v>0</v>
      </c>
    </row>
    <row r="18" customFormat="false" ht="15" hidden="false" customHeight="false" outlineLevel="0" collapsed="false">
      <c r="A18" s="2" t="n">
        <f aca="false">A17+$A$2</f>
        <v>1.326</v>
      </c>
      <c r="B18" s="2" t="n">
        <v>2</v>
      </c>
      <c r="C18" s="2" t="n">
        <f aca="false">B18/SUM($B$2:$B$25)*1/0.078</f>
        <v>0.0710277718587968</v>
      </c>
      <c r="D18" s="2"/>
      <c r="H18" s="2" t="n">
        <f aca="false">A18*B18</f>
        <v>2.652</v>
      </c>
    </row>
    <row r="19" customFormat="false" ht="15" hidden="false" customHeight="false" outlineLevel="0" collapsed="false">
      <c r="A19" s="2" t="n">
        <f aca="false">A18+$A$2</f>
        <v>1.404</v>
      </c>
      <c r="B19" s="2" t="n">
        <v>1</v>
      </c>
      <c r="C19" s="2" t="n">
        <f aca="false">B19/SUM($B$2:$B$25)*1/0.078</f>
        <v>0.0355138859293984</v>
      </c>
      <c r="D19" s="2"/>
      <c r="H19" s="2" t="n">
        <f aca="false">A19*B19</f>
        <v>1.404</v>
      </c>
    </row>
    <row r="20" customFormat="false" ht="15" hidden="false" customHeight="false" outlineLevel="0" collapsed="false">
      <c r="A20" s="2" t="n">
        <f aca="false">A19+$A$2</f>
        <v>1.482</v>
      </c>
      <c r="B20" s="2" t="n">
        <v>1</v>
      </c>
      <c r="C20" s="2" t="n">
        <f aca="false">B20/SUM($B$2:$B$25)*1/0.078</f>
        <v>0.0355138859293984</v>
      </c>
      <c r="D20" s="2"/>
      <c r="H20" s="2" t="n">
        <f aca="false">A20*B20</f>
        <v>1.482</v>
      </c>
    </row>
    <row r="21" customFormat="false" ht="15" hidden="false" customHeight="false" outlineLevel="0" collapsed="false">
      <c r="A21" s="2" t="n">
        <f aca="false">A20+$A$2</f>
        <v>1.56</v>
      </c>
      <c r="B21" s="2" t="n">
        <v>0</v>
      </c>
      <c r="C21" s="2" t="n">
        <f aca="false">B21/SUM($B$2:$B$25)*1/0.078</f>
        <v>0</v>
      </c>
      <c r="D21" s="2"/>
      <c r="H21" s="2" t="n">
        <f aca="false">A21*B21</f>
        <v>0</v>
      </c>
    </row>
    <row r="22" customFormat="false" ht="15" hidden="false" customHeight="false" outlineLevel="0" collapsed="false">
      <c r="A22" s="2" t="n">
        <f aca="false">A21+$A$2</f>
        <v>1.638</v>
      </c>
      <c r="B22" s="2" t="n">
        <v>0</v>
      </c>
      <c r="C22" s="2" t="n">
        <f aca="false">B22/SUM($B$2:$B$25)*1/0.078</f>
        <v>0</v>
      </c>
      <c r="D22" s="2"/>
      <c r="H22" s="2" t="n">
        <f aca="false">A22*B22</f>
        <v>0</v>
      </c>
    </row>
    <row r="23" customFormat="false" ht="15" hidden="false" customHeight="false" outlineLevel="0" collapsed="false">
      <c r="A23" s="2" t="n">
        <f aca="false">A22+$A$2</f>
        <v>1.716</v>
      </c>
      <c r="B23" s="2" t="n">
        <v>0</v>
      </c>
      <c r="C23" s="2" t="n">
        <f aca="false">B23/SUM($B$2:$B$25)*1/0.078</f>
        <v>0</v>
      </c>
      <c r="D23" s="2"/>
      <c r="H23" s="2" t="n">
        <f aca="false">A23*B23</f>
        <v>0</v>
      </c>
    </row>
    <row r="24" customFormat="false" ht="15" hidden="false" customHeight="false" outlineLevel="0" collapsed="false">
      <c r="A24" s="2"/>
      <c r="B24" s="2"/>
      <c r="C24" s="2"/>
      <c r="D24" s="2"/>
    </row>
    <row r="25" customFormat="false" ht="15" hidden="false" customHeight="false" outlineLevel="0" collapsed="false">
      <c r="A25" s="2"/>
      <c r="B25" s="2"/>
      <c r="C25" s="2"/>
      <c r="D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sheetData>
    <row r="1" customFormat="false" ht="15" hidden="false" customHeight="false" outlineLevel="0" collapsed="false">
      <c r="A1" s="3" t="s">
        <v>8</v>
      </c>
      <c r="B1" s="3" t="s">
        <v>9</v>
      </c>
    </row>
    <row r="2" customFormat="false" ht="15" hidden="false" customHeight="false" outlineLevel="0" collapsed="false">
      <c r="A2" s="0" t="s">
        <v>10</v>
      </c>
      <c r="B2" s="0" t="n">
        <v>0.75</v>
      </c>
    </row>
    <row r="3" customFormat="false" ht="15" hidden="false" customHeight="false" outlineLevel="0" collapsed="false">
      <c r="A3" s="0" t="s">
        <v>11</v>
      </c>
      <c r="B3" s="0" t="n">
        <v>0.08</v>
      </c>
    </row>
    <row r="4" customFormat="false" ht="15" hidden="false" customHeight="false" outlineLevel="0" collapsed="false">
      <c r="A4" s="0" t="s">
        <v>12</v>
      </c>
      <c r="B4" s="0" t="n">
        <v>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2026-04-22T05:02:31Z</dcterms:created>
  <dc:creator>openpyxl</dc:creator>
  <dc:description/>
  <dc:language>en-GB</dc:language>
  <cp:lastModifiedBy/>
  <dcterms:modified xsi:type="dcterms:W3CDTF">2026-04-22T09:46:56Z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