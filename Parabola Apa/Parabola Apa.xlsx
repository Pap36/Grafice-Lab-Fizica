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<sst xmlns="http://schemas.openxmlformats.org/spreadsheetml/2006/main" count="16" uniqueCount="12">
  <si>
    <t xml:space="preserve">T</t>
  </si>
  <si>
    <t xml:space="preserve">w</t>
  </si>
  <si>
    <t xml:space="preserve">W^2</t>
  </si>
  <si>
    <t xml:space="preserve">delta h</t>
  </si>
  <si>
    <t xml:space="preserve">alfa</t>
  </si>
  <si>
    <t xml:space="preserve">g</t>
  </si>
  <si>
    <t xml:space="preserve">h0</t>
  </si>
  <si>
    <t xml:space="preserve">a</t>
  </si>
  <si>
    <t xml:space="preserve">g_anal</t>
  </si>
  <si>
    <t xml:space="preserve">x</t>
  </si>
  <si>
    <t xml:space="preserve">t</t>
  </si>
  <si>
    <t xml:space="preserve">g_avg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</si>
</sst>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"/>
    <numFmt numFmtId="166" formatCode="0.0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5"/>
  <sheetViews>
    <sheetView showFormulas="false" showGridLines="true" showRowColHeaders="true" showZeros="true" rightToLeft="false" tabSelected="true" showOutlineSymbols="true" defaultGridColor="true" view="normal" topLeftCell="H1" colorId="64" zoomScale="100" zoomScaleNormal="100" zoomScalePageLayoutView="100" workbookViewId="0">
      <selection pane="topLeft" activeCell="O6" activeCellId="0" sqref="O6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3</v>
      </c>
      <c r="K1" s="0" t="s">
        <v>9</v>
      </c>
      <c r="L1" s="0" t="s">
        <v>10</v>
      </c>
      <c r="M1" s="0" t="s">
        <v>1</v>
      </c>
      <c r="N1" s="0" t="s">
        <v>2</v>
      </c>
      <c r="O1" s="0" t="s">
        <v>5</v>
      </c>
      <c r="P1" s="0" t="s">
        <v>11</v>
      </c>
    </row>
    <row r="2" customFormat="false" ht="12.8" hidden="false" customHeight="false" outlineLevel="0" collapsed="false">
      <c r="A2" s="1" t="n">
        <v>0.644</v>
      </c>
      <c r="B2" s="1" t="n">
        <f aca="false">2*PI()/A2</f>
        <v>9.7564989241919</v>
      </c>
      <c r="C2" s="1" t="n">
        <f aca="false">B2^2</f>
        <v>95.1892712577578</v>
      </c>
      <c r="D2" s="0" t="n">
        <v>0.8</v>
      </c>
      <c r="E2" s="0" t="n">
        <v>0.008</v>
      </c>
      <c r="F2" s="2" t="n">
        <f aca="false">H2^2/(6*E2) / 100</f>
        <v>9.97633333333333</v>
      </c>
      <c r="G2" s="0" t="n">
        <v>9.8</v>
      </c>
      <c r="H2" s="0" t="n">
        <v>6.92</v>
      </c>
      <c r="I2" s="2" t="n">
        <f aca="false">C2*$H$2^2/(600*D2)</f>
        <v>9.49639899824478</v>
      </c>
      <c r="J2" s="0" t="n">
        <v>1.8</v>
      </c>
      <c r="K2" s="0" t="n">
        <v>2.6</v>
      </c>
      <c r="L2" s="0" t="n">
        <v>0.321</v>
      </c>
      <c r="M2" s="2" t="n">
        <f aca="false">2*PI()/L2</f>
        <v>19.5737860036747</v>
      </c>
      <c r="N2" s="2" t="n">
        <f aca="false">M2^2</f>
        <v>383.133098517652</v>
      </c>
      <c r="O2" s="2" t="n">
        <f aca="false">N2*$H$2^2*(1/3 - K2^2/$H$2^2)/(200*J2)</f>
        <v>9.79344960270159</v>
      </c>
      <c r="P2" s="3" t="n">
        <f aca="false">AVERAGE(I2:I5)</f>
        <v>9.90261601551546</v>
      </c>
    </row>
    <row r="3" customFormat="false" ht="12.8" hidden="false" customHeight="false" outlineLevel="0" collapsed="false">
      <c r="A3" s="1" t="n">
        <v>0.422</v>
      </c>
      <c r="B3" s="1" t="n">
        <f aca="false">2*PI()/A3</f>
        <v>14.8890647089564</v>
      </c>
      <c r="C3" s="1" t="n">
        <f aca="false">B3^2</f>
        <v>221.68424790749</v>
      </c>
      <c r="D3" s="0" t="n">
        <v>1.8</v>
      </c>
      <c r="I3" s="2" t="n">
        <f aca="false">C3*$H$2^2/(600*D3)</f>
        <v>9.8293153416641</v>
      </c>
      <c r="J3" s="0" t="n">
        <v>1.8</v>
      </c>
      <c r="K3" s="0" t="n">
        <v>1.6</v>
      </c>
      <c r="L3" s="0" t="n">
        <v>0.385</v>
      </c>
      <c r="M3" s="2" t="n">
        <f aca="false">2*PI()/L3</f>
        <v>16.3199618368301</v>
      </c>
      <c r="N3" s="2" t="n">
        <f aca="false">M3^2</f>
        <v>266.341154355591</v>
      </c>
      <c r="O3" s="2" t="n">
        <f aca="false">N3*$H$2^2*(1/3 - K3^2/$H$2^2)/(200*J3)</f>
        <v>9.91538795229872</v>
      </c>
      <c r="P3" s="3"/>
    </row>
    <row r="4" customFormat="false" ht="12.8" hidden="false" customHeight="false" outlineLevel="0" collapsed="false">
      <c r="A4" s="1" t="n">
        <v>0.333</v>
      </c>
      <c r="B4" s="1" t="n">
        <f aca="false">2*PI()/A4</f>
        <v>18.8684243458846</v>
      </c>
      <c r="C4" s="1" t="n">
        <f aca="false">B4^2</f>
        <v>356.017437296372</v>
      </c>
      <c r="D4" s="0" t="n">
        <v>2.8</v>
      </c>
      <c r="I4" s="2" t="n">
        <f aca="false">C4*$H$2^2/(600*D4)</f>
        <v>10.1478532198506</v>
      </c>
      <c r="P4" s="3"/>
    </row>
    <row r="5" customFormat="false" ht="12.8" hidden="false" customHeight="false" outlineLevel="0" collapsed="false">
      <c r="A5" s="1" t="n">
        <v>0.286</v>
      </c>
      <c r="B5" s="1" t="n">
        <f aca="false">2*PI()/A5</f>
        <v>21.9691793957328</v>
      </c>
      <c r="C5" s="1" t="n">
        <f aca="false">B5^2</f>
        <v>482.644843321891</v>
      </c>
      <c r="D5" s="0" t="n">
        <v>3.8</v>
      </c>
      <c r="I5" s="2" t="n">
        <f aca="false">C5*$H$2^2/(600*D5)</f>
        <v>10.1368965023024</v>
      </c>
      <c r="P5" s="3"/>
    </row>
  </sheetData>
  <mergeCells count="1">
    <mergeCell ref="P2:P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2026-03-24T11:24:32Z</dcterms:created>
  <dc:creator/>
  <dc:description/>
  <dc:language>en-GB</dc:language>
  <cp:lastModifiedBy/>
  <dcterms:modified xsi:type="dcterms:W3CDTF">2026-03-24T11:50:15Z</dcterms:modified>
  <cp:revision>5</cp:revision>
  <dc:subject/>
  <dc:title/>
</cp:coreProperties>
</file>