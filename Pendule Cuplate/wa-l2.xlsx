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<sst xmlns="http://schemas.openxmlformats.org/spreadsheetml/2006/main" count="27" uniqueCount="27">
  <si>
    <t xml:space="preserve">l(m)</t>
  </si>
  <si>
    <t xml:space="preserve">l^2(m^2)</t>
  </si>
  <si>
    <t xml:space="preserve">T0</t>
  </si>
  <si>
    <t xml:space="preserve">T0_calc</t>
  </si>
  <si>
    <t xml:space="preserve">Ts</t>
  </si>
  <si>
    <t xml:space="preserve">ws</t>
  </si>
  <si>
    <t xml:space="preserve">Ta</t>
  </si>
  <si>
    <t xml:space="preserve">wa</t>
  </si>
  <si>
    <t xml:space="preserve">Wa^2</t>
  </si>
  <si>
    <t xml:space="preserve">T0_grafic</t>
  </si>
  <si>
    <t xml:space="preserve">w0</t>
  </si>
  <si>
    <t xml:space="preserve">L</t>
  </si>
  <si>
    <t xml:space="preserve">w0^2_grafic</t>
  </si>
  <si>
    <t xml:space="preserve">Tb</t>
  </si>
  <si>
    <t xml:space="preserve">Tbf(TsTa)</t>
  </si>
  <si>
    <t xml:space="preserve">m(kg)</t>
  </si>
  <si>
    <t xml:space="preserve">T</t>
  </si>
  <si>
    <t xml:space="preserve">T^2</t>
  </si>
  <si>
    <t xml:space="preserve">k</t>
  </si>
  <si>
    <t xml:space="preserve">delta l(m)</t>
  </si>
  <si>
    <t xml:space="preserve">k_din</t>
  </si>
  <si>
    <t xml:space="preserve">ks_med</t>
  </si>
  <si>
    <t xml:space="preserve">kdin_med</t>
  </si>
  <si>
    <t xml:space="preserve">g</t>
  </si>
  <si>
    <t xml:space="preserve">tg alpha</t>
  </si>
  <si>
    <t xml:space="preserve">m</t>
  </si>
  <si>
    <t xml:space="preserve">k_grafic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</si>
</sst>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X13" activeCellId="0" sqref="X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1" width="19.2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0" t="s">
        <v>10</v>
      </c>
      <c r="L1" s="1" t="s">
        <v>11</v>
      </c>
      <c r="M1" s="1" t="n">
        <v>1</v>
      </c>
      <c r="N1" s="0" t="s">
        <v>12</v>
      </c>
      <c r="O1" s="0" t="s">
        <v>13</v>
      </c>
      <c r="P1" s="0" t="s">
        <v>14</v>
      </c>
      <c r="R1" s="0" t="s">
        <v>15</v>
      </c>
      <c r="S1" s="0" t="s">
        <v>16</v>
      </c>
      <c r="T1" s="0" t="s">
        <v>17</v>
      </c>
      <c r="U1" s="0" t="s">
        <v>18</v>
      </c>
      <c r="V1" s="0" t="s">
        <v>19</v>
      </c>
      <c r="W1" s="0" t="s">
        <v>20</v>
      </c>
      <c r="X1" s="0" t="s">
        <v>21</v>
      </c>
      <c r="Y1" s="0" t="s">
        <v>22</v>
      </c>
    </row>
    <row r="2" customFormat="false" ht="12.8" hidden="false" customHeight="false" outlineLevel="0" collapsed="false">
      <c r="A2" s="2" t="n">
        <v>0.3</v>
      </c>
      <c r="B2" s="2" t="n">
        <f aca="false">A2*A2</f>
        <v>0.09</v>
      </c>
      <c r="C2" s="3" t="n">
        <v>1.9985</v>
      </c>
      <c r="D2" s="2" t="n">
        <f aca="false">2*PI()*SQRT($M$1/$M$2)</f>
        <v>2.00606668071065</v>
      </c>
      <c r="E2" s="2" t="n">
        <v>2.0492</v>
      </c>
      <c r="F2" s="2" t="n">
        <f aca="false">2*PI()/E2</f>
        <v>3.06616499471969</v>
      </c>
      <c r="G2" s="2" t="n">
        <v>1.9712</v>
      </c>
      <c r="H2" s="2" t="n">
        <f aca="false">2*PI()/G2</f>
        <v>3.18749254625588</v>
      </c>
      <c r="I2" s="2" t="n">
        <f aca="false">H2*H2</f>
        <v>10.1601087324368</v>
      </c>
      <c r="J2" s="3" t="n">
        <f aca="false">2*PI()/SQRT(N2)</f>
        <v>2.00633257318636</v>
      </c>
      <c r="K2" s="4" t="n">
        <f aca="false">2*PI()/C2</f>
        <v>3.14395061655221</v>
      </c>
      <c r="L2" s="1" t="s">
        <v>23</v>
      </c>
      <c r="M2" s="1" t="n">
        <v>9.81</v>
      </c>
      <c r="N2" s="0" t="n">
        <v>9.8074</v>
      </c>
      <c r="O2" s="5" t="n">
        <v>72.2375</v>
      </c>
      <c r="P2" s="5" t="n">
        <f aca="false">E2*G2/(E2-G2)</f>
        <v>51.7869620512821</v>
      </c>
      <c r="R2" s="6" t="n">
        <f aca="false">10/1000</f>
        <v>0.01</v>
      </c>
      <c r="S2" s="5" t="n">
        <v>0.4465</v>
      </c>
      <c r="T2" s="5" t="n">
        <f aca="false">S2*S2</f>
        <v>0.19936225</v>
      </c>
      <c r="U2" s="5" t="n">
        <f aca="false">R2*$M$2/V2</f>
        <v>3.16451612903226</v>
      </c>
      <c r="V2" s="6" t="n">
        <f aca="false">31/1000</f>
        <v>0.031</v>
      </c>
      <c r="W2" s="0" t="n">
        <f aca="false">4*PI()*PI()*R2/T2</f>
        <v>1.98023535570839</v>
      </c>
      <c r="X2" s="7" t="n">
        <f aca="false">AVERAGE(U2:U9)</f>
        <v>3.17874551916276</v>
      </c>
      <c r="Y2" s="7" t="n">
        <f aca="false">AVERAGE(W2:W9)</f>
        <v>2.71628201988159</v>
      </c>
    </row>
    <row r="3" customFormat="false" ht="12.8" hidden="false" customHeight="false" outlineLevel="0" collapsed="false">
      <c r="A3" s="2" t="n">
        <v>0.4</v>
      </c>
      <c r="B3" s="2" t="n">
        <f aca="false">A3*A3</f>
        <v>0.16</v>
      </c>
      <c r="C3" s="3" t="n">
        <v>1.9985</v>
      </c>
      <c r="D3" s="2" t="n">
        <f aca="false">2*PI()*SQRT($M$1/$M$2)</f>
        <v>2.00606668071065</v>
      </c>
      <c r="E3" s="2" t="n">
        <v>2.0176</v>
      </c>
      <c r="F3" s="2" t="n">
        <f aca="false">2*PI()/E3</f>
        <v>3.11418780094151</v>
      </c>
      <c r="G3" s="2" t="n">
        <v>1.9228</v>
      </c>
      <c r="H3" s="2" t="n">
        <f aca="false">2*PI()/G3</f>
        <v>3.26772691240877</v>
      </c>
      <c r="I3" s="2" t="n">
        <f aca="false">H3*H3</f>
        <v>10.6780391740806</v>
      </c>
      <c r="J3" s="3"/>
      <c r="K3" s="4"/>
      <c r="L3" s="0" t="s">
        <v>24</v>
      </c>
      <c r="M3" s="0" t="n">
        <v>5.7848</v>
      </c>
      <c r="O3" s="5" t="n">
        <v>41.3125</v>
      </c>
      <c r="P3" s="5" t="n">
        <f aca="false">E3*G3/(E3-G3)</f>
        <v>40.9223763713081</v>
      </c>
      <c r="R3" s="6" t="n">
        <v>0.02</v>
      </c>
      <c r="S3" s="5" t="n">
        <v>0.5556</v>
      </c>
      <c r="T3" s="5" t="n">
        <f aca="false">S3*S3</f>
        <v>0.30869136</v>
      </c>
      <c r="U3" s="5" t="n">
        <f aca="false">R3*$M$2/V3</f>
        <v>3.11428571428571</v>
      </c>
      <c r="V3" s="6" t="n">
        <v>0.063</v>
      </c>
      <c r="W3" s="0" t="n">
        <f aca="false">4*PI()*PI()*R3/T3</f>
        <v>2.55779219764087</v>
      </c>
      <c r="X3" s="7"/>
      <c r="Y3" s="7"/>
    </row>
    <row r="4" customFormat="false" ht="12.8" hidden="false" customHeight="false" outlineLevel="0" collapsed="false">
      <c r="A4" s="2" t="n">
        <v>0.5</v>
      </c>
      <c r="B4" s="2" t="n">
        <f aca="false">A4*A4</f>
        <v>0.25</v>
      </c>
      <c r="C4" s="3" t="n">
        <v>1.9985</v>
      </c>
      <c r="D4" s="2" t="n">
        <f aca="false">2*PI()*SQRT($M$1/$M$2)</f>
        <v>2.00606668071065</v>
      </c>
      <c r="E4" s="2" t="n">
        <v>2.0102</v>
      </c>
      <c r="F4" s="2" t="n">
        <f aca="false">2*PI()/E4</f>
        <v>3.12565182926056</v>
      </c>
      <c r="G4" s="2" t="n">
        <v>1.8583</v>
      </c>
      <c r="H4" s="2" t="n">
        <f aca="false">2*PI()/G4</f>
        <v>3.38114691232825</v>
      </c>
      <c r="I4" s="2" t="n">
        <f aca="false">H4*H4</f>
        <v>11.4321544427469</v>
      </c>
      <c r="J4" s="3"/>
      <c r="K4" s="4"/>
      <c r="L4" s="0" t="s">
        <v>25</v>
      </c>
      <c r="M4" s="0" t="n">
        <v>1</v>
      </c>
      <c r="O4" s="5" t="n">
        <v>27.66</v>
      </c>
      <c r="P4" s="5" t="n">
        <f aca="false">E4*G4/(E4-G4)</f>
        <v>24.5921965766952</v>
      </c>
      <c r="R4" s="6" t="n">
        <v>0.03</v>
      </c>
      <c r="S4" s="5" t="n">
        <v>0.6668</v>
      </c>
      <c r="T4" s="5" t="n">
        <f aca="false">S4*S4</f>
        <v>0.44462224</v>
      </c>
      <c r="U4" s="5" t="n">
        <f aca="false">R4*$M$2/V4</f>
        <v>3.13085106382979</v>
      </c>
      <c r="V4" s="6" t="n">
        <v>0.094</v>
      </c>
      <c r="W4" s="0" t="n">
        <f aca="false">4*PI()*PI()*R4/T4</f>
        <v>2.66372759070874</v>
      </c>
      <c r="X4" s="7"/>
      <c r="Y4" s="7"/>
    </row>
    <row r="5" customFormat="false" ht="12.8" hidden="false" customHeight="false" outlineLevel="0" collapsed="false">
      <c r="A5" s="2" t="n">
        <v>0.6</v>
      </c>
      <c r="B5" s="2" t="n">
        <f aca="false">A5*A5</f>
        <v>0.36</v>
      </c>
      <c r="C5" s="3" t="n">
        <v>1.9985</v>
      </c>
      <c r="D5" s="2" t="n">
        <f aca="false">2*PI()*SQRT($M$1/$M$2)</f>
        <v>2.00606668071065</v>
      </c>
      <c r="E5" s="2" t="n">
        <v>2.011</v>
      </c>
      <c r="F5" s="2" t="n">
        <f aca="false">2*PI()/E5</f>
        <v>3.12440840734937</v>
      </c>
      <c r="G5" s="2" t="n">
        <v>1.8168</v>
      </c>
      <c r="H5" s="2" t="n">
        <f aca="false">2*PI()/G5</f>
        <v>3.45838028796763</v>
      </c>
      <c r="I5" s="2" t="n">
        <f aca="false">H5*H5</f>
        <v>11.9603942162031</v>
      </c>
      <c r="J5" s="3"/>
      <c r="K5" s="4"/>
      <c r="O5" s="5" t="n">
        <v>19.234</v>
      </c>
      <c r="P5" s="5" t="n">
        <f aca="false">E5*G5/(E5-G5)</f>
        <v>18.8135159629248</v>
      </c>
      <c r="R5" s="6" t="n">
        <v>0.04</v>
      </c>
      <c r="S5" s="5" t="n">
        <v>0.752</v>
      </c>
      <c r="T5" s="5" t="n">
        <f aca="false">S5*S5</f>
        <v>0.565504</v>
      </c>
      <c r="U5" s="5" t="n">
        <f aca="false">R5*$M$2/V5</f>
        <v>3.19024390243902</v>
      </c>
      <c r="V5" s="6" t="n">
        <v>0.123</v>
      </c>
      <c r="W5" s="0" t="n">
        <f aca="false">4*PI()*PI()*R5/T5</f>
        <v>2.79244126332316</v>
      </c>
      <c r="X5" s="7"/>
      <c r="Y5" s="7"/>
    </row>
    <row r="6" customFormat="false" ht="12.8" hidden="false" customHeight="false" outlineLevel="0" collapsed="false">
      <c r="A6" s="2" t="n">
        <v>0.7</v>
      </c>
      <c r="B6" s="2" t="n">
        <f aca="false">A6*A6</f>
        <v>0.49</v>
      </c>
      <c r="C6" s="3"/>
      <c r="D6" s="2" t="n">
        <f aca="false">2*PI()*SQRT($M$1/$M$2)</f>
        <v>2.00606668071065</v>
      </c>
      <c r="E6" s="2" t="n">
        <v>2.0173</v>
      </c>
      <c r="F6" s="2" t="n">
        <f aca="false">2*PI()/E6</f>
        <v>3.11465092310494</v>
      </c>
      <c r="G6" s="2" t="n">
        <v>1.7623</v>
      </c>
      <c r="H6" s="2" t="n">
        <f aca="false">2*PI()/G6</f>
        <v>3.5653324105882</v>
      </c>
      <c r="I6" s="2" t="n">
        <f aca="false">H6*H6</f>
        <v>12.7115951979907</v>
      </c>
      <c r="J6" s="3"/>
      <c r="K6" s="4"/>
      <c r="L6" s="0" t="s">
        <v>26</v>
      </c>
      <c r="M6" s="5" t="n">
        <f aca="false">M4*M2*M1*M3/(2*N2)</f>
        <v>2.89316679242205</v>
      </c>
      <c r="O6" s="5" t="n">
        <v>14.28</v>
      </c>
      <c r="P6" s="5" t="n">
        <f aca="false">E6*G6/(E6-G6)</f>
        <v>13.941520745098</v>
      </c>
      <c r="R6" s="6" t="n">
        <v>0.05</v>
      </c>
      <c r="S6" s="5" t="n">
        <v>0.828</v>
      </c>
      <c r="T6" s="5" t="n">
        <f aca="false">S6*S6</f>
        <v>0.685584</v>
      </c>
      <c r="U6" s="5" t="n">
        <f aca="false">R6*$M$2/V6</f>
        <v>3.20588235294118</v>
      </c>
      <c r="V6" s="6" t="n">
        <v>0.153</v>
      </c>
      <c r="W6" s="0" t="n">
        <f aca="false">4*PI()*PI()*R6/T6</f>
        <v>2.87918166150008</v>
      </c>
      <c r="X6" s="7"/>
      <c r="Y6" s="7"/>
    </row>
    <row r="7" customFormat="false" ht="12.8" hidden="false" customHeight="false" outlineLevel="0" collapsed="false">
      <c r="A7" s="2" t="n">
        <v>0.8</v>
      </c>
      <c r="B7" s="2" t="n">
        <f aca="false">A7*A7</f>
        <v>0.64</v>
      </c>
      <c r="C7" s="3"/>
      <c r="D7" s="2" t="n">
        <f aca="false">2*PI()*SQRT($M$1/$M$2)</f>
        <v>2.00606668071065</v>
      </c>
      <c r="E7" s="2" t="n">
        <v>2.0153</v>
      </c>
      <c r="F7" s="2" t="n">
        <f aca="false">2*PI()/E7</f>
        <v>3.1177419278418</v>
      </c>
      <c r="G7" s="2" t="n">
        <v>1.7085</v>
      </c>
      <c r="H7" s="2" t="n">
        <f aca="false">2*PI()/G7</f>
        <v>3.67760334046215</v>
      </c>
      <c r="I7" s="2" t="n">
        <f aca="false">H7*H7</f>
        <v>13.5247663297784</v>
      </c>
      <c r="J7" s="3"/>
      <c r="K7" s="4"/>
      <c r="O7" s="5" t="n">
        <v>11.0225</v>
      </c>
      <c r="P7" s="5" t="n">
        <f aca="false">E7*G7/(E7-G7)</f>
        <v>11.2227511408083</v>
      </c>
      <c r="R7" s="6" t="n">
        <v>0.06</v>
      </c>
      <c r="S7" s="5" t="n">
        <v>0.9027</v>
      </c>
      <c r="T7" s="5" t="n">
        <f aca="false">S7*S7</f>
        <v>0.81486729</v>
      </c>
      <c r="U7" s="5" t="n">
        <f aca="false">R7*$M$2/V7</f>
        <v>3.19891304347826</v>
      </c>
      <c r="V7" s="6" t="n">
        <v>0.184</v>
      </c>
      <c r="W7" s="0" t="n">
        <f aca="false">4*PI()*PI()*R7/T7</f>
        <v>2.90685990876066</v>
      </c>
      <c r="X7" s="7"/>
      <c r="Y7" s="7"/>
    </row>
    <row r="8" customFormat="false" ht="12.8" hidden="false" customHeight="true" outlineLevel="0" collapsed="false">
      <c r="A8" s="5" t="n">
        <v>0.9</v>
      </c>
      <c r="B8" s="2" t="n">
        <f aca="false">A8*A8</f>
        <v>0.81</v>
      </c>
      <c r="D8" s="2" t="n">
        <f aca="false">2*PI()*SQRT($M$1/$M$2)</f>
        <v>2.00606668071065</v>
      </c>
      <c r="E8" s="2" t="n">
        <v>2.0088</v>
      </c>
      <c r="F8" s="2" t="n">
        <f aca="false">2*PI()/E8</f>
        <v>3.12783020070668</v>
      </c>
      <c r="G8" s="2" t="n">
        <v>1.6568</v>
      </c>
      <c r="H8" s="2" t="n">
        <f aca="false">2*PI()/G8</f>
        <v>3.7923619671533</v>
      </c>
      <c r="I8" s="2" t="n">
        <f aca="false">H8*H8</f>
        <v>14.3820092899108</v>
      </c>
      <c r="O8" s="5" t="n">
        <v>9.46</v>
      </c>
      <c r="P8" s="5" t="n">
        <f aca="false">E8*G8/(E8-G8)</f>
        <v>9.45505636363637</v>
      </c>
      <c r="R8" s="6" t="n">
        <v>0.07</v>
      </c>
      <c r="S8" s="5" t="n">
        <v>0.9629</v>
      </c>
      <c r="T8" s="5" t="n">
        <f aca="false">S8*S8</f>
        <v>0.92717641</v>
      </c>
      <c r="U8" s="5" t="n">
        <f aca="false">R8*$M$2/V8</f>
        <v>3.2088785046729</v>
      </c>
      <c r="V8" s="6" t="n">
        <v>0.214</v>
      </c>
      <c r="W8" s="0" t="n">
        <f aca="false">4*PI()*PI()*R8/T8</f>
        <v>2.98054307950417</v>
      </c>
      <c r="X8" s="7"/>
      <c r="Y8" s="7"/>
    </row>
    <row r="9" customFormat="false" ht="12.8" hidden="false" customHeight="true" outlineLevel="0" collapsed="false">
      <c r="R9" s="6" t="n">
        <v>0.08</v>
      </c>
      <c r="S9" s="5" t="n">
        <v>1.0313</v>
      </c>
      <c r="T9" s="5" t="n">
        <f aca="false">S9*S9</f>
        <v>1.06357969</v>
      </c>
      <c r="U9" s="5" t="n">
        <f aca="false">R9*$M$2/V9</f>
        <v>3.21639344262295</v>
      </c>
      <c r="V9" s="6" t="n">
        <v>0.244</v>
      </c>
      <c r="W9" s="0" t="n">
        <f aca="false">4*PI()*PI()*R9/T9</f>
        <v>2.96947510190665</v>
      </c>
      <c r="X9" s="7"/>
      <c r="Y9" s="7"/>
    </row>
  </sheetData>
  <mergeCells count="6">
    <mergeCell ref="C2:C7"/>
    <mergeCell ref="J2:J7"/>
    <mergeCell ref="K2:K7"/>
    <mergeCell ref="N2:N7"/>
    <mergeCell ref="X2:X9"/>
    <mergeCell ref="Y2:Y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2026-03-03T08:53:00Z</dcterms:created>
  <dc:creator/>
  <dc:description/>
  <dc:language>en-GB</dc:language>
  <cp:lastModifiedBy/>
  <dcterms:modified xsi:type="dcterms:W3CDTF">2026-03-03T12:33:38Z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