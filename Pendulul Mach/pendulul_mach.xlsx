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<sst xmlns="http://schemas.openxmlformats.org/spreadsheetml/2006/main" count="7" uniqueCount="7">
  <si>
    <t xml:space="preserve">beta</t>
  </si>
  <si>
    <t xml:space="preserve">T’</t>
  </si>
  <si>
    <t xml:space="preserve">T^2 / T’ ^ 2</t>
  </si>
  <si>
    <t xml:space="preserve">cos beta</t>
  </si>
  <si>
    <t xml:space="preserve">T ^2 / T’ ^ 2 - cos beta</t>
  </si>
  <si>
    <t xml:space="preserve">T’ teoretic</t>
  </si>
  <si>
    <t xml:space="preserve">lambda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</si>
</sst>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"/>
    <numFmt numFmtId="166" formatCode="0.000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5" min="5" style="0" width="19.03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2.8" hidden="false" customHeight="false" outlineLevel="0" collapsed="false">
      <c r="A2" s="0" t="n">
        <v>0</v>
      </c>
      <c r="B2" s="1" t="n">
        <v>1.075</v>
      </c>
      <c r="C2" s="1" t="n">
        <f aca="false">($B$2*$B$2)/(B2*B2)</f>
        <v>1</v>
      </c>
      <c r="D2" s="1" t="n">
        <f aca="false">COS(A2 * 3.14 / 180)</f>
        <v>1</v>
      </c>
      <c r="E2" s="1" t="n">
        <f aca="false">C2-D2</f>
        <v>0</v>
      </c>
      <c r="F2" s="1" t="n">
        <f aca="false">2*3.14*SQRT($C$21/(9.806*D2))</f>
        <v>1.075</v>
      </c>
    </row>
    <row r="3" customFormat="false" ht="12.8" hidden="false" customHeight="false" outlineLevel="0" collapsed="false">
      <c r="A3" s="0" t="n">
        <v>5</v>
      </c>
      <c r="B3" s="1" t="n">
        <v>1.09</v>
      </c>
      <c r="C3" s="1" t="n">
        <f aca="false">($B$2*$B$2)/(B3*B3)</f>
        <v>0.972666442218668</v>
      </c>
      <c r="D3" s="1" t="n">
        <f aca="false">COS(A3 * 3.14 / 180)</f>
        <v>0.996198552919823</v>
      </c>
      <c r="E3" s="1" t="n">
        <f aca="false">C3-D3</f>
        <v>-0.0235321107011544</v>
      </c>
      <c r="F3" s="1" t="n">
        <f aca="false">2*3.14*SQRT($C$21/(9.806*D3))</f>
        <v>1.07704912188116</v>
      </c>
    </row>
    <row r="4" customFormat="false" ht="12.8" hidden="false" customHeight="false" outlineLevel="0" collapsed="false">
      <c r="A4" s="0" t="n">
        <v>10</v>
      </c>
      <c r="B4" s="1" t="n">
        <v>1.1</v>
      </c>
      <c r="C4" s="1" t="n">
        <f aca="false">($B$2*$B$2)/(B4*B4)</f>
        <v>0.955061983471074</v>
      </c>
      <c r="D4" s="1" t="n">
        <f aca="false">COS(A4 * 3.14 / 180)</f>
        <v>0.984823113679097</v>
      </c>
      <c r="E4" s="1" t="n">
        <f aca="false">C4-D4</f>
        <v>-0.0297611302080231</v>
      </c>
      <c r="F4" s="1" t="n">
        <f aca="false">2*3.14*SQRT($C$21/(9.806*D4))</f>
        <v>1.08325162154044</v>
      </c>
    </row>
    <row r="5" customFormat="false" ht="12.8" hidden="false" customHeight="false" outlineLevel="0" collapsed="false">
      <c r="A5" s="0" t="n">
        <v>15</v>
      </c>
      <c r="B5" s="1" t="n">
        <v>1.11</v>
      </c>
      <c r="C5" s="1" t="n">
        <f aca="false">($B$2*$B$2)/(B5*B5)</f>
        <v>0.937931174417661</v>
      </c>
      <c r="D5" s="1" t="n">
        <f aca="false">COS(A5 * 3.14 / 180)</f>
        <v>0.965960168538399</v>
      </c>
      <c r="E5" s="1" t="n">
        <f aca="false">C5-D5</f>
        <v>-0.0280289941207379</v>
      </c>
      <c r="F5" s="1" t="n">
        <f aca="false">2*3.14*SQRT($C$21/(9.806*D5))</f>
        <v>1.09377717171071</v>
      </c>
    </row>
    <row r="6" customFormat="false" ht="12.8" hidden="false" customHeight="false" outlineLevel="0" collapsed="false">
      <c r="A6" s="0" t="n">
        <v>20</v>
      </c>
      <c r="B6" s="1" t="n">
        <v>1.12</v>
      </c>
      <c r="C6" s="1" t="n">
        <f aca="false">($B$2*$B$2)/(B6*B6)</f>
        <v>0.921257174744898</v>
      </c>
      <c r="D6" s="1" t="n">
        <f aca="false">COS(A6 * 3.14 / 180)</f>
        <v>0.939753130473184</v>
      </c>
      <c r="E6" s="1" t="n">
        <f aca="false">C6-D6</f>
        <v>-0.0184959557282863</v>
      </c>
      <c r="F6" s="1" t="n">
        <f aca="false">2*3.14*SQRT($C$21/(9.806*D6))</f>
        <v>1.10892346599834</v>
      </c>
    </row>
    <row r="7" customFormat="false" ht="12.8" hidden="false" customHeight="false" outlineLevel="0" collapsed="false">
      <c r="A7" s="0" t="n">
        <v>25</v>
      </c>
      <c r="B7" s="1" t="n">
        <v>1.125</v>
      </c>
      <c r="C7" s="1" t="n">
        <f aca="false">($B$2*$B$2)/(B7*B7)</f>
        <v>0.913086419753086</v>
      </c>
      <c r="D7" s="1" t="n">
        <f aca="false">COS(A7 * 3.14 / 180)</f>
        <v>0.90640124882012</v>
      </c>
      <c r="E7" s="1" t="n">
        <f aca="false">C7-D7</f>
        <v>0.00668517093296639</v>
      </c>
      <c r="F7" s="1" t="n">
        <f aca="false">2*3.14*SQRT($C$21/(9.806*D7))</f>
        <v>1.12914110238151</v>
      </c>
    </row>
    <row r="8" customFormat="false" ht="12.8" hidden="false" customHeight="false" outlineLevel="0" collapsed="false">
      <c r="A8" s="0" t="n">
        <v>30</v>
      </c>
      <c r="B8" s="1" t="n">
        <v>1.15</v>
      </c>
      <c r="C8" s="1" t="n">
        <f aca="false">($B$2*$B$2)/(B8*B8)</f>
        <v>0.873818525519849</v>
      </c>
      <c r="D8" s="1" t="n">
        <f aca="false">COS(A8 * 3.14 / 180)</f>
        <v>0.866158094405463</v>
      </c>
      <c r="E8" s="1" t="n">
        <f aca="false">C8-D8</f>
        <v>0.00766043111438586</v>
      </c>
      <c r="F8" s="1" t="n">
        <f aca="false">2*3.14*SQRT($C$21/(9.806*D8))</f>
        <v>1.15507419106041</v>
      </c>
    </row>
    <row r="9" customFormat="false" ht="12.8" hidden="false" customHeight="false" outlineLevel="0" collapsed="false">
      <c r="A9" s="0" t="n">
        <v>35</v>
      </c>
      <c r="B9" s="1" t="n">
        <v>1.18</v>
      </c>
      <c r="C9" s="1" t="n">
        <f aca="false">($B$2*$B$2)/(B9*B9)</f>
        <v>0.829951881643206</v>
      </c>
      <c r="D9" s="1" t="n">
        <f aca="false">COS(A9 * 3.14 / 180)</f>
        <v>0.819329631672907</v>
      </c>
      <c r="E9" s="1" t="n">
        <f aca="false">C9-D9</f>
        <v>0.0106222499702994</v>
      </c>
      <c r="F9" s="1" t="n">
        <f aca="false">2*3.14*SQRT($C$21/(9.806*D9))</f>
        <v>1.18762445933223</v>
      </c>
    </row>
    <row r="10" customFormat="false" ht="12.8" hidden="false" customHeight="false" outlineLevel="0" collapsed="false">
      <c r="A10" s="0" t="n">
        <v>40</v>
      </c>
      <c r="B10" s="1" t="n">
        <v>1.225</v>
      </c>
      <c r="C10" s="1" t="n">
        <f aca="false">($B$2*$B$2)/(B10*B10)</f>
        <v>0.770095793419408</v>
      </c>
      <c r="D10" s="1" t="n">
        <f aca="false">COS(A10 * 3.14 / 180)</f>
        <v>0.766271892468299</v>
      </c>
      <c r="E10" s="1" t="n">
        <f aca="false">C10-D10</f>
        <v>0.00382390095110952</v>
      </c>
      <c r="F10" s="1" t="n">
        <f aca="false">2*3.14*SQRT($C$21/(9.806*D10))</f>
        <v>1.22805273447812</v>
      </c>
    </row>
    <row r="11" customFormat="false" ht="12.8" hidden="false" customHeight="false" outlineLevel="0" collapsed="false">
      <c r="A11" s="0" t="n">
        <v>45</v>
      </c>
      <c r="B11" s="1" t="n">
        <v>1.275</v>
      </c>
      <c r="C11" s="1" t="n">
        <f aca="false">($B$2*$B$2)/(B11*B11)</f>
        <v>0.710880430603614</v>
      </c>
      <c r="D11" s="1" t="n">
        <f aca="false">COS(A11 * 3.14 / 180)</f>
        <v>0.7073882691672</v>
      </c>
      <c r="E11" s="1" t="n">
        <f aca="false">C11-D11</f>
        <v>0.00349216143641418</v>
      </c>
      <c r="F11" s="1" t="n">
        <f aca="false">2*3.14*SQRT($C$21/(9.806*D11))</f>
        <v>1.27814326967217</v>
      </c>
    </row>
    <row r="12" customFormat="false" ht="12.8" hidden="false" customHeight="false" outlineLevel="0" collapsed="false">
      <c r="A12" s="0" t="n">
        <v>50</v>
      </c>
      <c r="B12" s="1" t="n">
        <v>1.35</v>
      </c>
      <c r="C12" s="1" t="n">
        <f aca="false">($B$2*$B$2)/(B12*B12)</f>
        <v>0.634087791495199</v>
      </c>
      <c r="D12" s="1" t="n">
        <f aca="false">COS(A12 * 3.14 / 180)</f>
        <v>0.643126447725346</v>
      </c>
      <c r="E12" s="1" t="n">
        <f aca="false">C12-D12</f>
        <v>-0.0090386562301471</v>
      </c>
      <c r="F12" s="1" t="n">
        <f aca="false">2*3.14*SQRT($C$21/(9.806*D12))</f>
        <v>1.34047981697308</v>
      </c>
    </row>
    <row r="13" customFormat="false" ht="12.8" hidden="false" customHeight="false" outlineLevel="0" collapsed="false">
      <c r="A13" s="0" t="n">
        <v>55</v>
      </c>
      <c r="B13" s="1" t="n">
        <v>1.41</v>
      </c>
      <c r="C13" s="1" t="n">
        <f aca="false">($B$2*$B$2)/(B13*B13)</f>
        <v>0.581271062823802</v>
      </c>
      <c r="D13" s="1" t="n">
        <f aca="false">COS(A13 * 3.14 / 180)</f>
        <v>0.573975003969711</v>
      </c>
      <c r="E13" s="1" t="n">
        <f aca="false">C13-D13</f>
        <v>0.00729605885409035</v>
      </c>
      <c r="F13" s="1" t="n">
        <f aca="false">2*3.14*SQRT($C$21/(9.806*D13))</f>
        <v>1.4189332784187</v>
      </c>
    </row>
    <row r="14" customFormat="false" ht="12.8" hidden="false" customHeight="false" outlineLevel="0" collapsed="false">
      <c r="A14" s="0" t="n">
        <v>60</v>
      </c>
      <c r="B14" s="1" t="n">
        <v>1.48</v>
      </c>
      <c r="C14" s="1" t="n">
        <f aca="false">($B$2*$B$2)/(B14*B14)</f>
        <v>0.527586285609934</v>
      </c>
      <c r="D14" s="1" t="n">
        <f aca="false">COS(A14 * 3.14 / 180)</f>
        <v>0.500459689008206</v>
      </c>
      <c r="E14" s="1" t="n">
        <f aca="false">C14-D14</f>
        <v>0.0271265966017284</v>
      </c>
      <c r="F14" s="1" t="n">
        <f aca="false">2*3.14*SQRT($C$21/(9.806*D14))</f>
        <v>1.51958120525456</v>
      </c>
    </row>
    <row r="15" customFormat="false" ht="12.8" hidden="false" customHeight="false" outlineLevel="0" collapsed="false">
      <c r="A15" s="0" t="n">
        <v>65</v>
      </c>
      <c r="B15" s="1" t="n">
        <v>1.62</v>
      </c>
      <c r="C15" s="1" t="n">
        <f aca="false">($B$2*$B$2)/(B15*B15)</f>
        <v>0.440338744093888</v>
      </c>
      <c r="D15" s="1" t="n">
        <f aca="false">COS(A15 * 3.14 / 180)</f>
        <v>0.423139431999647</v>
      </c>
      <c r="E15" s="1" t="n">
        <f aca="false">C15-D15</f>
        <v>0.0171993120942412</v>
      </c>
      <c r="F15" s="1" t="n">
        <f aca="false">2*3.14*SQRT($C$21/(9.806*D15))</f>
        <v>1.65259606711694</v>
      </c>
    </row>
    <row r="16" customFormat="false" ht="12.8" hidden="false" customHeight="false" outlineLevel="0" collapsed="false">
      <c r="A16" s="0" t="n">
        <v>70</v>
      </c>
      <c r="B16" s="1" t="n">
        <v>1.85</v>
      </c>
      <c r="C16" s="1" t="n">
        <f aca="false">($B$2*$B$2)/(B16*B16)</f>
        <v>0.337655222790358</v>
      </c>
      <c r="D16" s="1" t="n">
        <f aca="false">COS(A16 * 3.14 / 180)</f>
        <v>0.342602090674522</v>
      </c>
      <c r="E16" s="1" t="n">
        <f aca="false">C16-D16</f>
        <v>-0.00494686788416388</v>
      </c>
      <c r="F16" s="1" t="n">
        <f aca="false">2*3.14*SQRT($C$21/(9.806*D16))</f>
        <v>1.83659526295367</v>
      </c>
    </row>
    <row r="20" customFormat="false" ht="12.8" hidden="false" customHeight="false" outlineLevel="0" collapsed="false">
      <c r="C20" s="0" t="s">
        <v>6</v>
      </c>
    </row>
    <row r="21" customFormat="false" ht="12.8" hidden="false" customHeight="false" outlineLevel="0" collapsed="false">
      <c r="C21" s="2" t="n">
        <f aca="false">9.806*B2*B2/(4*3.14*3.14)</f>
        <v>0.287335661436569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LibreOffice/25.2.4.3$MacOSX_AARCH64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2025-11-03T22:21:00Z</dcterms:created>
  <dc:creator/>
  <dc:description/>
  <dc:language>en-GB</dc:language>
  <cp:lastModifiedBy/>
  <dcterms:modified xsi:type="dcterms:W3CDTF">2025-11-03T22:41:17Z</dcterms:modified>
  <cp:revision>1</cp:revision>
  <dc:subject/>
  <dc:title/>
</cp:coreProperties>
</file>