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<sst xmlns="http://schemas.openxmlformats.org/spreadsheetml/2006/main" count="8" uniqueCount="8">
  <si>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beta</t>
  </si>
  <si>
    <t xml:space="preserve">T’</t>
  </si>
  <si>
    <t xml:space="preserve">T^2 / T’ ^ 2</t>
  </si>
  <si>
    <t xml:space="preserve">cos beta</t>
  </si>
  <si>
    <t xml:space="preserve">T ^2 / T’ ^ 2 - cos beta</t>
  </si>
  <si>
    <t xml:space="preserve">T’ teoretic</t>
  </si>
  <si>
    <t xml:space="preserve">0.024 medie</t>
  </si>
  <si>
    <t xml:space="preserve">lambda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</si>
</sst>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1" width="19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0</v>
      </c>
      <c r="B2" s="2" t="n">
        <v>1.06</v>
      </c>
      <c r="C2" s="2" t="n">
        <f aca="false">($B$2*$B$2)/(B2*B2)</f>
        <v>1</v>
      </c>
      <c r="D2" s="2" t="n">
        <f aca="false">COS(A2 * 3.14 / 180)</f>
        <v>1</v>
      </c>
      <c r="E2" s="2" t="n">
        <f aca="false">C2-D2</f>
        <v>0</v>
      </c>
      <c r="F2" s="2" t="n">
        <f aca="false">2*3.14*SQRT($C$21/(9.806*D2))</f>
        <v>1.06</v>
      </c>
    </row>
    <row r="3" customFormat="false" ht="12.8" hidden="false" customHeight="false" outlineLevel="0" collapsed="false">
      <c r="A3" s="1"/>
      <c r="B3" s="2"/>
      <c r="C3" s="2"/>
      <c r="D3" s="2"/>
      <c r="E3" s="2"/>
      <c r="F3" s="2"/>
    </row>
    <row r="4" customFormat="false" ht="12.8" hidden="false" customHeight="false" outlineLevel="0" collapsed="false">
      <c r="A4" s="1" t="n">
        <v>10</v>
      </c>
      <c r="B4" s="2" t="n">
        <v>1.08</v>
      </c>
      <c r="C4" s="2" t="n">
        <f aca="false">($B$2*$B$2)/(B4*B4)</f>
        <v>0.963305898491084</v>
      </c>
      <c r="D4" s="2" t="n">
        <f aca="false">COS(A4 * 3.14 / 180)</f>
        <v>0.984823113679097</v>
      </c>
      <c r="E4" s="2" t="n">
        <f aca="false">C4-D4</f>
        <v>-0.0215172151880135</v>
      </c>
      <c r="F4" s="2" t="n">
        <f aca="false">2*3.14*SQRT($C$21/(9.806*D4))</f>
        <v>1.06813648263523</v>
      </c>
    </row>
    <row r="5" customFormat="false" ht="12.8" hidden="false" customHeight="false" outlineLevel="0" collapsed="false">
      <c r="A5" s="1"/>
      <c r="B5" s="2"/>
      <c r="C5" s="2"/>
      <c r="D5" s="2"/>
      <c r="E5" s="2"/>
      <c r="F5" s="2"/>
    </row>
    <row r="6" customFormat="false" ht="12.8" hidden="false" customHeight="false" outlineLevel="0" collapsed="false">
      <c r="A6" s="1" t="n">
        <v>20</v>
      </c>
      <c r="B6" s="2" t="n">
        <v>1.11</v>
      </c>
      <c r="C6" s="2" t="n">
        <f aca="false">($B$2*$B$2)/(B6*B6)</f>
        <v>0.91193896599302</v>
      </c>
      <c r="D6" s="2" t="n">
        <f aca="false">COS(A6 * 3.14 / 180)</f>
        <v>0.939753130473184</v>
      </c>
      <c r="E6" s="2" t="n">
        <f aca="false">C6-D6</f>
        <v>-0.0278141644801641</v>
      </c>
      <c r="F6" s="2" t="n">
        <f aca="false">2*3.14*SQRT($C$21/(9.806*D6))</f>
        <v>1.09345011530999</v>
      </c>
    </row>
    <row r="7" customFormat="false" ht="12.8" hidden="false" customHeight="false" outlineLevel="0" collapsed="false">
      <c r="A7" s="1"/>
      <c r="B7" s="2"/>
      <c r="C7" s="2"/>
      <c r="D7" s="2"/>
      <c r="E7" s="2"/>
      <c r="F7" s="2"/>
    </row>
    <row r="8" customFormat="false" ht="12.8" hidden="false" customHeight="false" outlineLevel="0" collapsed="false">
      <c r="A8" s="1" t="n">
        <v>30</v>
      </c>
      <c r="B8" s="2" t="n">
        <v>1.16</v>
      </c>
      <c r="C8" s="2" t="n">
        <f aca="false">($B$2*$B$2)/(B8*B8)</f>
        <v>0.835017835909632</v>
      </c>
      <c r="D8" s="2" t="n">
        <f aca="false">COS(A8 * 3.14 / 180)</f>
        <v>0.866158094405463</v>
      </c>
      <c r="E8" s="2" t="n">
        <f aca="false">C8-D8</f>
        <v>-0.0311402584958315</v>
      </c>
      <c r="F8" s="2" t="n">
        <f aca="false">2*3.14*SQRT($C$21/(9.806*D8))</f>
        <v>1.13895687676655</v>
      </c>
    </row>
    <row r="9" customFormat="false" ht="12.8" hidden="false" customHeight="false" outlineLevel="0" collapsed="false">
      <c r="A9" s="1"/>
      <c r="B9" s="2"/>
      <c r="C9" s="2"/>
      <c r="D9" s="2"/>
      <c r="E9" s="2"/>
      <c r="F9" s="2"/>
    </row>
    <row r="10" customFormat="false" ht="12.8" hidden="false" customHeight="false" outlineLevel="0" collapsed="false">
      <c r="A10" s="1" t="n">
        <v>40</v>
      </c>
      <c r="B10" s="2" t="n">
        <v>1.22</v>
      </c>
      <c r="C10" s="2" t="n">
        <f aca="false">($B$2*$B$2)/(B10*B10)</f>
        <v>0.754904595538834</v>
      </c>
      <c r="D10" s="2" t="n">
        <f aca="false">COS(A10 * 3.14 / 180)</f>
        <v>0.766271892468299</v>
      </c>
      <c r="E10" s="2" t="n">
        <f aca="false">C10-D10</f>
        <v>-0.011367296929465</v>
      </c>
      <c r="F10" s="2" t="n">
        <f aca="false">2*3.14*SQRT($C$21/(9.806*D10))</f>
        <v>1.21091711492726</v>
      </c>
    </row>
    <row r="11" customFormat="false" ht="12.8" hidden="false" customHeight="false" outlineLevel="0" collapsed="false">
      <c r="A11" s="1"/>
      <c r="B11" s="2"/>
      <c r="C11" s="2"/>
      <c r="D11" s="2"/>
      <c r="E11" s="2"/>
      <c r="F11" s="2"/>
    </row>
    <row r="12" customFormat="false" ht="12.8" hidden="false" customHeight="false" outlineLevel="0" collapsed="false">
      <c r="A12" s="1" t="n">
        <v>50</v>
      </c>
      <c r="B12" s="2" t="n">
        <v>1.35</v>
      </c>
      <c r="C12" s="2" t="n">
        <f aca="false">($B$2*$B$2)/(B12*B12)</f>
        <v>0.616515775034294</v>
      </c>
      <c r="D12" s="2" t="n">
        <f aca="false">COS(A12 * 3.14 / 180)</f>
        <v>0.643126447725346</v>
      </c>
      <c r="E12" s="2" t="n">
        <f aca="false">C12-D12</f>
        <v>-0.0266106726910523</v>
      </c>
      <c r="F12" s="2" t="n">
        <f aca="false">2*3.14*SQRT($C$21/(9.806*D12))</f>
        <v>1.32177544743392</v>
      </c>
    </row>
    <row r="13" customFormat="false" ht="12.8" hidden="false" customHeight="false" outlineLevel="0" collapsed="false">
      <c r="A13" s="1"/>
      <c r="B13" s="2"/>
      <c r="C13" s="2"/>
      <c r="D13" s="2"/>
      <c r="E13" s="2"/>
      <c r="F13" s="2"/>
    </row>
    <row r="14" customFormat="false" ht="12.8" hidden="false" customHeight="false" outlineLevel="0" collapsed="false">
      <c r="A14" s="1" t="n">
        <v>60</v>
      </c>
      <c r="B14" s="2" t="n">
        <v>1.53</v>
      </c>
      <c r="C14" s="2" t="n">
        <f aca="false">($B$2*$B$2)/(B14*B14)</f>
        <v>0.479986330044</v>
      </c>
      <c r="D14" s="2" t="n">
        <f aca="false">COS(A14 * 3.14 / 180)</f>
        <v>0.500459689008206</v>
      </c>
      <c r="E14" s="2" t="n">
        <f aca="false">C14-D14</f>
        <v>-0.0204733589642055</v>
      </c>
      <c r="F14" s="2" t="n">
        <f aca="false">2*3.14*SQRT($C$21/(9.806*D14))</f>
        <v>1.49837774657659</v>
      </c>
    </row>
    <row r="15" customFormat="false" ht="12.8" hidden="false" customHeight="false" outlineLevel="0" collapsed="false">
      <c r="A15" s="1"/>
      <c r="B15" s="2"/>
      <c r="C15" s="2"/>
      <c r="D15" s="2"/>
      <c r="E15" s="2"/>
      <c r="F15" s="2"/>
    </row>
    <row r="16" customFormat="false" ht="12.8" hidden="false" customHeight="false" outlineLevel="0" collapsed="false">
      <c r="A16" s="1" t="n">
        <v>70</v>
      </c>
      <c r="B16" s="2" t="n">
        <v>1.9</v>
      </c>
      <c r="C16" s="2" t="n">
        <f aca="false">($B$2*$B$2)/(B16*B16)</f>
        <v>0.311246537396122</v>
      </c>
      <c r="D16" s="2" t="n">
        <f aca="false">COS(A16 * 3.14 / 180)</f>
        <v>0.342602090674522</v>
      </c>
      <c r="E16" s="2" t="n">
        <f aca="false">C16-D16</f>
        <v>-0.0313555532783998</v>
      </c>
      <c r="F16" s="2" t="n">
        <f aca="false">2*3.14*SQRT($C$21/(9.806*D16))</f>
        <v>1.81096835230781</v>
      </c>
    </row>
    <row r="17" customFormat="false" ht="12.8" hidden="false" customHeight="true" outlineLevel="0" collapsed="false">
      <c r="E17" s="1" t="s">
        <v>6</v>
      </c>
    </row>
    <row r="20" customFormat="false" ht="12.8" hidden="false" customHeight="false" outlineLevel="0" collapsed="false">
      <c r="C20" s="1" t="s">
        <v>7</v>
      </c>
    </row>
    <row r="21" customFormat="false" ht="12.8" hidden="false" customHeight="false" outlineLevel="0" collapsed="false">
      <c r="C21" s="3" t="n">
        <f aca="false">9.806*B2*B2/(4*3.14*3.14)</f>
        <v>0.279372936021745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2025-11-03T22:21:00Z</dcterms:created>
  <dc:creator/>
  <dc:description/>
  <dc:language>en-GB</dc:language>
  <cp:lastModifiedBy/>
  <dcterms:modified xsi:type="dcterms:W3CDTF">2025-11-04T14:15:25Z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