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<sst xmlns="http://schemas.openxmlformats.org/spreadsheetml/2006/main" count="15" uniqueCount="14">
  <si>
    <t xml:space="preserve">l</t>
  </si>
  <si>
    <t xml:space="preserve">l_m</t>
  </si>
  <si>
    <t xml:space="preserve">T</t>
  </si>
  <si>
    <t xml:space="preserve">T^2</t>
  </si>
  <si>
    <t xml:space="preserve">T_10</t>
  </si>
  <si>
    <t xml:space="preserve">T_10^2</t>
  </si>
  <si>
    <t xml:space="preserve">g_10</t>
  </si>
  <si>
    <t xml:space="preserve">T_1</t>
  </si>
  <si>
    <t xml:space="preserve">T_1^2</t>
  </si>
  <si>
    <t xml:space="preserve">g_1</t>
  </si>
  <si>
    <t xml:space="preserve">g</t>
  </si>
  <si>
    <t xml:space="preserve">g_med</t>
  </si>
  <si>
    <t xml:space="preserve">r</t>
  </si>
  <si>
    <t xml:space="preserve">alfa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</si>
</sst>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K12" activeCellId="0" sqref="K1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1" t="n">
        <v>170</v>
      </c>
      <c r="B2" s="1" t="n">
        <f aca="false">A2/1000 +$I$15 / 1000</f>
        <v>0.1845</v>
      </c>
      <c r="C2" s="1" t="n">
        <v>0.882</v>
      </c>
      <c r="D2" s="1" t="n">
        <f aca="false">C2*C2</f>
        <v>0.777924</v>
      </c>
      <c r="E2" s="1" t="n">
        <v>0.877</v>
      </c>
      <c r="F2" s="1" t="n">
        <f aca="false">E2*E2</f>
        <v>0.769129</v>
      </c>
      <c r="G2" s="1" t="n">
        <f aca="false">4*PI()*PI()*B2/F2</f>
        <v>9.47015136343051</v>
      </c>
      <c r="H2" s="1" t="n">
        <v>0.848</v>
      </c>
      <c r="I2" s="1" t="n">
        <f aca="false">H2*H2</f>
        <v>0.719104</v>
      </c>
      <c r="J2" s="1" t="n">
        <f aca="false">4*PI()^2*B2/I2</f>
        <v>10.1289494259578</v>
      </c>
      <c r="K2" s="1" t="n">
        <f aca="false">4*PI()*PI()*B2/D2</f>
        <v>9.36308437328575</v>
      </c>
      <c r="L2" s="2" t="n">
        <f aca="false">AVERAGE(K2:K6)</f>
        <v>9.62052281504411</v>
      </c>
    </row>
    <row r="3" customFormat="false" ht="12.8" hidden="false" customHeight="false" outlineLevel="0" collapsed="false">
      <c r="A3" s="1" t="n">
        <v>255</v>
      </c>
      <c r="B3" s="1" t="n">
        <f aca="false">A3/1000 +$I$15 / 1000</f>
        <v>0.2695</v>
      </c>
      <c r="C3" s="1" t="n">
        <v>1.053</v>
      </c>
      <c r="D3" s="1" t="n">
        <f aca="false">C3*C3</f>
        <v>1.108809</v>
      </c>
      <c r="E3" s="1"/>
      <c r="F3" s="1" t="n">
        <f aca="false">E3*E3</f>
        <v>0</v>
      </c>
      <c r="G3" s="1" t="e">
        <f aca="false">4*PI()*PI()*B3/F3</f>
        <v>#DIV/0!</v>
      </c>
      <c r="H3" s="1"/>
      <c r="I3" s="1" t="n">
        <f aca="false">H3*H3</f>
        <v>0</v>
      </c>
      <c r="J3" s="1" t="e">
        <f aca="false">4*PI()^2*B3/I3</f>
        <v>#DIV/0!</v>
      </c>
      <c r="K3" s="1" t="n">
        <f aca="false">4*PI()*PI()*B3/D3</f>
        <v>9.59537083877776</v>
      </c>
      <c r="L3" s="2"/>
    </row>
    <row r="4" customFormat="false" ht="12.8" hidden="false" customHeight="false" outlineLevel="0" collapsed="false">
      <c r="A4" s="1" t="n">
        <v>398</v>
      </c>
      <c r="B4" s="1" t="n">
        <f aca="false">A4/1000 +$I$15 / 1000</f>
        <v>0.4125</v>
      </c>
      <c r="C4" s="1" t="n">
        <v>1.3</v>
      </c>
      <c r="D4" s="1" t="n">
        <f aca="false">C4*C4</f>
        <v>1.69</v>
      </c>
      <c r="E4" s="1"/>
      <c r="F4" s="1" t="n">
        <f aca="false">E4*E4</f>
        <v>0</v>
      </c>
      <c r="G4" s="1" t="e">
        <f aca="false">4*PI()*PI()*B4/F4</f>
        <v>#DIV/0!</v>
      </c>
      <c r="H4" s="1"/>
      <c r="I4" s="1" t="n">
        <f aca="false">H4*H4</f>
        <v>0</v>
      </c>
      <c r="J4" s="1" t="e">
        <f aca="false">4*PI()^2*B4/I4</f>
        <v>#DIV/0!</v>
      </c>
      <c r="K4" s="1" t="n">
        <f aca="false">4*PI()*PI()*B4/D4</f>
        <v>9.63600429692156</v>
      </c>
      <c r="L4" s="2"/>
    </row>
    <row r="5" customFormat="false" ht="12.8" hidden="false" customHeight="false" outlineLevel="0" collapsed="false">
      <c r="A5" s="1" t="n">
        <v>546</v>
      </c>
      <c r="B5" s="1" t="n">
        <f aca="false">A5/1000 +$I$15 / 1000</f>
        <v>0.5605</v>
      </c>
      <c r="C5" s="1" t="n">
        <v>1.505</v>
      </c>
      <c r="D5" s="1" t="n">
        <f aca="false">C5*C5</f>
        <v>2.265025</v>
      </c>
      <c r="E5" s="1"/>
      <c r="F5" s="1" t="n">
        <f aca="false">E5*E5</f>
        <v>0</v>
      </c>
      <c r="G5" s="1" t="e">
        <f aca="false">4*PI()*PI()*B5/F5</f>
        <v>#DIV/0!</v>
      </c>
      <c r="H5" s="1"/>
      <c r="I5" s="1" t="n">
        <f aca="false">H5*H5</f>
        <v>0</v>
      </c>
      <c r="J5" s="1" t="e">
        <f aca="false">4*PI()^2*B5/I5</f>
        <v>#DIV/0!</v>
      </c>
      <c r="K5" s="1" t="n">
        <f aca="false">4*PI()*PI()*B5/D5</f>
        <v>9.76927542399856</v>
      </c>
      <c r="L5" s="2"/>
    </row>
    <row r="6" customFormat="false" ht="12.8" hidden="false" customHeight="false" outlineLevel="0" collapsed="false">
      <c r="A6" s="1" t="n">
        <v>791</v>
      </c>
      <c r="B6" s="1" t="n">
        <f aca="false">A6/1000 +$I$15 / 1000</f>
        <v>0.8055</v>
      </c>
      <c r="C6" s="1" t="n">
        <v>1.807</v>
      </c>
      <c r="D6" s="1" t="n">
        <f aca="false">C6*C6</f>
        <v>3.265249</v>
      </c>
      <c r="E6" s="1" t="n">
        <v>1.816</v>
      </c>
      <c r="F6" s="1" t="n">
        <f aca="false">E6*E6</f>
        <v>3.297856</v>
      </c>
      <c r="G6" s="1" t="n">
        <f aca="false">4*PI()*PI()*B6/F6</f>
        <v>9.64258760246351</v>
      </c>
      <c r="H6" s="1" t="n">
        <v>1.86</v>
      </c>
      <c r="I6" s="1" t="n">
        <f aca="false">H6*H6</f>
        <v>3.4596</v>
      </c>
      <c r="J6" s="1" t="n">
        <f aca="false">4*PI()^2*B6/I6</f>
        <v>9.19177517062953</v>
      </c>
      <c r="K6" s="1" t="n">
        <f aca="false">4*PI()*PI()*B6/D6</f>
        <v>9.73887914223691</v>
      </c>
      <c r="L6" s="2"/>
    </row>
    <row r="7" customFormat="false" ht="12.8" hidden="false" customHeight="false" outlineLevel="0" collapsed="false">
      <c r="A7" s="1" t="n">
        <v>0</v>
      </c>
      <c r="B7" s="1" t="n">
        <v>0</v>
      </c>
      <c r="C7" s="1" t="n">
        <v>0</v>
      </c>
      <c r="D7" s="1" t="n">
        <f aca="false">C7*C7</f>
        <v>0</v>
      </c>
      <c r="E7" s="1"/>
      <c r="F7" s="1"/>
      <c r="G7" s="1"/>
      <c r="H7" s="1"/>
      <c r="I7" s="1"/>
      <c r="J7" s="1"/>
      <c r="K7" s="1" t="e">
        <f aca="false">4*PI()*PI()*B7/D7</f>
        <v>#DIV/0!</v>
      </c>
    </row>
    <row r="15" customFormat="false" ht="12.8" hidden="false" customHeight="false" outlineLevel="0" collapsed="false">
      <c r="H15" s="0" t="s">
        <v>12</v>
      </c>
      <c r="I15" s="1" t="n">
        <v>14.5</v>
      </c>
    </row>
    <row r="16" customFormat="false" ht="12.8" hidden="false" customHeight="false" outlineLevel="0" collapsed="false">
      <c r="I16" s="1"/>
    </row>
    <row r="17" customFormat="false" ht="12.8" hidden="false" customHeight="false" outlineLevel="0" collapsed="false">
      <c r="H17" s="0" t="s">
        <v>13</v>
      </c>
      <c r="I17" s="1" t="n">
        <v>4.064</v>
      </c>
    </row>
    <row r="18" customFormat="false" ht="12.8" hidden="false" customHeight="false" outlineLevel="0" collapsed="false">
      <c r="H18" s="0" t="s">
        <v>10</v>
      </c>
      <c r="I18" s="1" t="n">
        <f aca="false">4*PI()*PI()/I17</f>
        <v>9.71417756012732</v>
      </c>
    </row>
  </sheetData>
  <mergeCells count="2">
    <mergeCell ref="L2:L6"/>
    <mergeCell ref="E3:J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2025-12-02T12:17:23Z</dcterms:created>
  <dc:creator/>
  <dc:description/>
  <dc:language>en-GB</dc:language>
  <cp:lastModifiedBy/>
  <dcterms:modified xsi:type="dcterms:W3CDTF">2025-12-02T12:55:13Z</dcterms:modified>
  <cp:revision>8</cp:revision>
  <dc:subject/>
  <dc:title/>
</cp:coreProperties>
</file>