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<sst xmlns="http://schemas.openxmlformats.org/spreadsheetml/2006/main" count="7" uniqueCount="7">
  <si>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T</t>
  </si>
  <si>
    <t xml:space="preserve">pBar</t>
  </si>
  <si>
    <t xml:space="preserve">pPa</t>
  </si>
  <si>
    <t xml:space="preserve">lnP</t>
  </si>
  <si>
    <t xml:space="preserve">1/T</t>
  </si>
  <si>
    <t xml:space="preserve">tan alpha</t>
  </si>
  <si>
    <t xml:space="preserve">lambda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</si>
</sst>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451</v>
      </c>
      <c r="B2" s="0" t="n">
        <v>10</v>
      </c>
      <c r="C2" s="0" t="n">
        <f aca="false">B2*10^5</f>
        <v>1000000</v>
      </c>
      <c r="D2" s="1" t="n">
        <f aca="false">LN(C2)</f>
        <v>13.8155105579643</v>
      </c>
      <c r="E2" s="0" t="n">
        <f aca="false">1/A2</f>
        <v>0.00221729490022173</v>
      </c>
      <c r="F2" s="2" t="n">
        <v>-4433.05</v>
      </c>
      <c r="G2" s="2" t="n">
        <f aca="false">-F2*8.31</f>
        <v>36838.6455</v>
      </c>
    </row>
    <row r="3" customFormat="false" ht="12.8" hidden="false" customHeight="false" outlineLevel="0" collapsed="false">
      <c r="A3" s="0" t="n">
        <v>455.5</v>
      </c>
      <c r="B3" s="0" t="n">
        <v>11</v>
      </c>
      <c r="C3" s="0" t="n">
        <f aca="false">B3*10^5</f>
        <v>1100000</v>
      </c>
      <c r="D3" s="1" t="n">
        <f aca="false">LN(C3)</f>
        <v>13.9108207377686</v>
      </c>
      <c r="E3" s="0" t="n">
        <f aca="false">1/A3</f>
        <v>0.0021953896816685</v>
      </c>
      <c r="F3" s="2"/>
      <c r="G3" s="2"/>
    </row>
    <row r="4" customFormat="false" ht="12.8" hidden="false" customHeight="false" outlineLevel="0" collapsed="false">
      <c r="A4" s="0" t="n">
        <v>460</v>
      </c>
      <c r="B4" s="0" t="n">
        <v>12</v>
      </c>
      <c r="C4" s="0" t="n">
        <f aca="false">B4*10^5</f>
        <v>1200000</v>
      </c>
      <c r="D4" s="1" t="n">
        <f aca="false">LN(C4)</f>
        <v>13.9978321147582</v>
      </c>
      <c r="E4" s="0" t="n">
        <f aca="false">1/A4</f>
        <v>0.00217391304347826</v>
      </c>
      <c r="F4" s="2"/>
      <c r="G4" s="2"/>
      <c r="H4" s="0" t="n">
        <f aca="false">G2/18</f>
        <v>2046.59141666667</v>
      </c>
    </row>
    <row r="5" customFormat="false" ht="12.8" hidden="false" customHeight="false" outlineLevel="0" collapsed="false">
      <c r="A5" s="0" t="n">
        <v>463</v>
      </c>
      <c r="B5" s="0" t="n">
        <v>13</v>
      </c>
      <c r="C5" s="0" t="n">
        <f aca="false">B5*10^5</f>
        <v>1300000</v>
      </c>
      <c r="D5" s="1" t="n">
        <f aca="false">LN(C5)</f>
        <v>14.0778748224318</v>
      </c>
      <c r="E5" s="0" t="n">
        <f aca="false">1/A5</f>
        <v>0.00215982721382289</v>
      </c>
      <c r="F5" s="2"/>
      <c r="G5" s="2"/>
    </row>
    <row r="6" customFormat="false" ht="12.8" hidden="false" customHeight="false" outlineLevel="0" collapsed="false">
      <c r="A6" s="0" t="n">
        <v>466</v>
      </c>
      <c r="B6" s="0" t="n">
        <v>14</v>
      </c>
      <c r="C6" s="0" t="n">
        <f aca="false">B6*10^5</f>
        <v>1400000</v>
      </c>
      <c r="D6" s="1" t="n">
        <f aca="false">LN(C6)</f>
        <v>14.1519827945855</v>
      </c>
      <c r="E6" s="0" t="n">
        <f aca="false">1/A6</f>
        <v>0.00214592274678112</v>
      </c>
      <c r="F6" s="2"/>
      <c r="G6" s="2"/>
    </row>
    <row r="7" customFormat="false" ht="12.8" hidden="false" customHeight="false" outlineLevel="0" collapsed="false">
      <c r="A7" s="0" t="n">
        <v>469.3</v>
      </c>
      <c r="B7" s="0" t="n">
        <v>15</v>
      </c>
      <c r="C7" s="0" t="n">
        <f aca="false">B7*10^5</f>
        <v>1500000</v>
      </c>
      <c r="D7" s="1" t="n">
        <f aca="false">LN(C7)</f>
        <v>14.2209756660724</v>
      </c>
      <c r="E7" s="0" t="n">
        <f aca="false">1/A7</f>
        <v>0.0021308331557639</v>
      </c>
      <c r="F7" s="2"/>
      <c r="G7" s="2"/>
    </row>
    <row r="8" customFormat="false" ht="12.8" hidden="false" customHeight="false" outlineLevel="0" collapsed="false">
      <c r="A8" s="0" t="n">
        <v>472.4</v>
      </c>
      <c r="B8" s="0" t="n">
        <v>16</v>
      </c>
      <c r="C8" s="0" t="n">
        <f aca="false">B8*10^5</f>
        <v>1600000</v>
      </c>
      <c r="D8" s="1" t="n">
        <f aca="false">LN(C8)</f>
        <v>14.28551418721</v>
      </c>
      <c r="E8" s="0" t="n">
        <f aca="false">1/A8</f>
        <v>0.00211685012701101</v>
      </c>
      <c r="F8" s="2"/>
      <c r="G8" s="2"/>
    </row>
    <row r="9" customFormat="false" ht="12.8" hidden="false" customHeight="false" outlineLevel="0" collapsed="false">
      <c r="A9" s="0" t="n">
        <v>475.2</v>
      </c>
      <c r="B9" s="0" t="n">
        <v>17</v>
      </c>
      <c r="C9" s="0" t="n">
        <f aca="false">B9*10^5</f>
        <v>1700000</v>
      </c>
      <c r="D9" s="1" t="n">
        <f aca="false">LN(C9)</f>
        <v>14.3461388090264</v>
      </c>
      <c r="E9" s="0" t="n">
        <f aca="false">1/A9</f>
        <v>0.0021043771043771</v>
      </c>
      <c r="F9" s="2"/>
      <c r="G9" s="2"/>
    </row>
    <row r="10" customFormat="false" ht="12.8" hidden="false" customHeight="false" outlineLevel="0" collapsed="false">
      <c r="A10" s="0" t="n">
        <v>478</v>
      </c>
      <c r="B10" s="0" t="n">
        <v>18</v>
      </c>
      <c r="C10" s="0" t="n">
        <f aca="false">B10*10^5</f>
        <v>1800000</v>
      </c>
      <c r="D10" s="1" t="n">
        <f aca="false">LN(C10)</f>
        <v>14.4032972228664</v>
      </c>
      <c r="E10" s="0" t="n">
        <f aca="false">1/A10</f>
        <v>0.00209205020920502</v>
      </c>
      <c r="F10" s="2"/>
      <c r="G10" s="2"/>
    </row>
    <row r="11" customFormat="false" ht="12.8" hidden="false" customHeight="false" outlineLevel="0" collapsed="false">
      <c r="A11" s="0" t="n">
        <v>480.7</v>
      </c>
      <c r="B11" s="0" t="n">
        <v>19</v>
      </c>
      <c r="C11" s="0" t="n">
        <f aca="false">B11*10^5</f>
        <v>1900000</v>
      </c>
      <c r="D11" s="1" t="n">
        <f aca="false">LN(C11)</f>
        <v>14.4573644441367</v>
      </c>
      <c r="E11" s="0" t="n">
        <f aca="false">1/A11</f>
        <v>0.00208029956313709</v>
      </c>
      <c r="F11" s="2"/>
      <c r="G11" s="2"/>
    </row>
    <row r="12" customFormat="false" ht="12.8" hidden="false" customHeight="false" outlineLevel="0" collapsed="false">
      <c r="A12" s="0" t="n">
        <v>483.3</v>
      </c>
      <c r="B12" s="0" t="n">
        <v>20</v>
      </c>
      <c r="C12" s="0" t="n">
        <f aca="false">B12*10^5</f>
        <v>2000000</v>
      </c>
      <c r="D12" s="1" t="n">
        <f aca="false">LN(C12)</f>
        <v>14.5086577385242</v>
      </c>
      <c r="E12" s="0" t="n">
        <f aca="false">1/A12</f>
        <v>0.00206910821435961</v>
      </c>
      <c r="F12" s="2"/>
      <c r="G12" s="2"/>
    </row>
    <row r="13" customFormat="false" ht="12.8" hidden="false" customHeight="false" outlineLevel="0" collapsed="false">
      <c r="A13" s="0" t="n">
        <v>485.8</v>
      </c>
      <c r="B13" s="0" t="n">
        <v>21</v>
      </c>
      <c r="C13" s="0" t="n">
        <f aca="false">B13*10^5</f>
        <v>2100000</v>
      </c>
      <c r="D13" s="1" t="n">
        <f aca="false">LN(C13)</f>
        <v>14.5574479026937</v>
      </c>
      <c r="E13" s="0" t="n">
        <f aca="false">1/A13</f>
        <v>0.00205846027171676</v>
      </c>
      <c r="F13" s="2"/>
      <c r="G13" s="2"/>
    </row>
    <row r="14" customFormat="false" ht="12.8" hidden="false" customHeight="false" outlineLevel="0" collapsed="false">
      <c r="A14" s="0" t="n">
        <v>487.8</v>
      </c>
      <c r="B14" s="0" t="n">
        <v>22</v>
      </c>
      <c r="C14" s="0" t="n">
        <f aca="false">B14*10^5</f>
        <v>2200000</v>
      </c>
      <c r="D14" s="1" t="n">
        <f aca="false">LN(C14)</f>
        <v>14.6039679183285</v>
      </c>
      <c r="E14" s="0" t="n">
        <f aca="false">1/A14</f>
        <v>0.002050020500205</v>
      </c>
      <c r="F14" s="2"/>
      <c r="G14" s="2"/>
    </row>
    <row r="15" customFormat="false" ht="12.8" hidden="false" customHeight="false" outlineLevel="0" collapsed="false">
      <c r="A15" s="0" t="n">
        <v>490.3</v>
      </c>
      <c r="B15" s="0" t="n">
        <v>23</v>
      </c>
      <c r="C15" s="0" t="n">
        <f aca="false">B15*10^5</f>
        <v>2300000</v>
      </c>
      <c r="D15" s="1" t="n">
        <f aca="false">LN(C15)</f>
        <v>14.6484196808994</v>
      </c>
      <c r="E15" s="0" t="n">
        <f aca="false">1/A15</f>
        <v>0.00203956761166633</v>
      </c>
      <c r="F15" s="2"/>
      <c r="G15" s="2"/>
    </row>
    <row r="16" customFormat="false" ht="12.8" hidden="false" customHeight="false" outlineLevel="0" collapsed="false">
      <c r="A16" s="0" t="n">
        <v>493</v>
      </c>
      <c r="B16" s="0" t="n">
        <v>24</v>
      </c>
      <c r="C16" s="0" t="n">
        <f aca="false">B16*10^5</f>
        <v>2400000</v>
      </c>
      <c r="D16" s="1" t="n">
        <f aca="false">LN(C16)</f>
        <v>14.6909792953182</v>
      </c>
      <c r="E16" s="0" t="n">
        <f aca="false">1/A16</f>
        <v>0.00202839756592292</v>
      </c>
      <c r="F16" s="2"/>
      <c r="G16" s="2"/>
    </row>
    <row r="17" customFormat="false" ht="12.8" hidden="false" customHeight="false" outlineLevel="0" collapsed="false">
      <c r="A17" s="0" t="n">
        <v>495.3</v>
      </c>
      <c r="B17" s="0" t="n">
        <v>25</v>
      </c>
      <c r="C17" s="0" t="n">
        <f aca="false">B17*10^5</f>
        <v>2500000</v>
      </c>
      <c r="D17" s="1" t="n">
        <f aca="false">LN(C17)</f>
        <v>14.7318012898384</v>
      </c>
      <c r="E17" s="0" t="n">
        <f aca="false">1/A17</f>
        <v>0.00201897839693115</v>
      </c>
      <c r="F17" s="2"/>
      <c r="G17" s="2"/>
    </row>
    <row r="18" customFormat="false" ht="12.8" hidden="false" customHeight="false" outlineLevel="0" collapsed="false">
      <c r="A18" s="0" t="n">
        <v>497.4</v>
      </c>
      <c r="B18" s="0" t="n">
        <v>26</v>
      </c>
      <c r="C18" s="0" t="n">
        <f aca="false">B18*10^5</f>
        <v>2600000</v>
      </c>
      <c r="D18" s="1" t="n">
        <f aca="false">LN(C18)</f>
        <v>14.7710220029917</v>
      </c>
      <c r="E18" s="0" t="n">
        <f aca="false">1/A18</f>
        <v>0.00201045436268597</v>
      </c>
      <c r="F18" s="2"/>
      <c r="G18" s="2"/>
    </row>
    <row r="19" customFormat="false" ht="12.8" hidden="false" customHeight="false" outlineLevel="0" collapsed="false">
      <c r="A19" s="0" t="n">
        <v>500</v>
      </c>
      <c r="B19" s="0" t="n">
        <v>27</v>
      </c>
      <c r="C19" s="0" t="n">
        <f aca="false">B19*10^5</f>
        <v>2700000</v>
      </c>
      <c r="D19" s="1" t="n">
        <f aca="false">LN(C19)</f>
        <v>14.8087623309746</v>
      </c>
      <c r="E19" s="0" t="n">
        <f aca="false">1/A19</f>
        <v>0.002</v>
      </c>
      <c r="F19" s="2"/>
      <c r="G19" s="2"/>
    </row>
    <row r="20" customFormat="false" ht="12.8" hidden="false" customHeight="false" outlineLevel="0" collapsed="false">
      <c r="A20" s="0" t="n">
        <v>502.3</v>
      </c>
      <c r="B20" s="0" t="n">
        <v>28</v>
      </c>
      <c r="C20" s="0" t="n">
        <f aca="false">B20*10^5</f>
        <v>2800000</v>
      </c>
      <c r="D20" s="1" t="n">
        <f aca="false">LN(C20)</f>
        <v>14.8451299751454</v>
      </c>
      <c r="E20" s="0" t="n">
        <f aca="false">1/A20</f>
        <v>0.00199084212621939</v>
      </c>
      <c r="F20" s="2"/>
      <c r="G20" s="2"/>
    </row>
    <row r="21" customFormat="false" ht="12.8" hidden="false" customHeight="false" outlineLevel="0" collapsed="false">
      <c r="A21" s="0" t="n">
        <v>504.3</v>
      </c>
      <c r="B21" s="0" t="n">
        <v>29</v>
      </c>
      <c r="C21" s="0" t="n">
        <f aca="false">B21*10^5</f>
        <v>2900000</v>
      </c>
      <c r="D21" s="1" t="n">
        <f aca="false">LN(C21)</f>
        <v>14.8802212949567</v>
      </c>
      <c r="E21" s="0" t="n">
        <f aca="false">1/A21</f>
        <v>0.00198294665873488</v>
      </c>
      <c r="F21" s="2"/>
      <c r="G21" s="2"/>
    </row>
    <row r="22" customFormat="false" ht="12.8" hidden="false" customHeight="false" outlineLevel="0" collapsed="false">
      <c r="A22" s="0" t="n">
        <v>506.7</v>
      </c>
      <c r="B22" s="0" t="n">
        <v>30</v>
      </c>
      <c r="C22" s="0" t="n">
        <f aca="false">B22*10^5</f>
        <v>3000000</v>
      </c>
      <c r="D22" s="1" t="n">
        <f aca="false">LN(C22)</f>
        <v>14.9141228466324</v>
      </c>
      <c r="E22" s="0" t="n">
        <f aca="false">1/A22</f>
        <v>0.00197355437142293</v>
      </c>
      <c r="F22" s="2"/>
      <c r="G22" s="2"/>
    </row>
    <row r="23" customFormat="false" ht="12.8" hidden="false" customHeight="false" outlineLevel="0" collapsed="false">
      <c r="A23" s="0" t="n">
        <v>509</v>
      </c>
      <c r="B23" s="0" t="n">
        <v>31</v>
      </c>
      <c r="C23" s="0" t="n">
        <f aca="false">B23*10^5</f>
        <v>3100000</v>
      </c>
      <c r="D23" s="1" t="n">
        <f aca="false">LN(C23)</f>
        <v>14.9469126694554</v>
      </c>
      <c r="E23" s="0" t="n">
        <f aca="false">1/A23</f>
        <v>0.00196463654223969</v>
      </c>
      <c r="F23" s="2"/>
      <c r="G23" s="2"/>
    </row>
    <row r="24" customFormat="false" ht="12.8" hidden="false" customHeight="false" outlineLevel="0" collapsed="false">
      <c r="A24" s="0" t="n">
        <v>511.8</v>
      </c>
      <c r="B24" s="0" t="n">
        <v>32</v>
      </c>
      <c r="C24" s="0" t="n">
        <f aca="false">B24*10^5</f>
        <v>3200000</v>
      </c>
      <c r="D24" s="1" t="n">
        <f aca="false">LN(C24)</f>
        <v>14.97866136777</v>
      </c>
      <c r="E24" s="0" t="n">
        <f aca="false">1/A24</f>
        <v>0.00195388823759281</v>
      </c>
      <c r="F24" s="2"/>
      <c r="G24" s="2"/>
    </row>
    <row r="25" customFormat="false" ht="12.8" hidden="false" customHeight="false" outlineLevel="0" collapsed="false">
      <c r="A25" s="0" t="n">
        <v>514.4</v>
      </c>
      <c r="B25" s="0" t="n">
        <v>33</v>
      </c>
      <c r="C25" s="0" t="n">
        <f aca="false">B25*10^5</f>
        <v>3300000</v>
      </c>
      <c r="D25" s="1" t="n">
        <f aca="false">LN(C25)</f>
        <v>15.0094330264367</v>
      </c>
      <c r="E25" s="0" t="n">
        <f aca="false">1/A25</f>
        <v>0.00194401244167963</v>
      </c>
      <c r="F25" s="2"/>
      <c r="G25" s="2"/>
    </row>
    <row r="26" customFormat="false" ht="12.8" hidden="false" customHeight="false" outlineLevel="0" collapsed="false">
      <c r="A26" s="0" t="n">
        <v>516.6</v>
      </c>
      <c r="B26" s="0" t="n">
        <v>34</v>
      </c>
      <c r="C26" s="0" t="n">
        <f aca="false">B26*10^5</f>
        <v>3400000</v>
      </c>
      <c r="D26" s="1" t="n">
        <f aca="false">LN(C26)</f>
        <v>15.0392859895864</v>
      </c>
      <c r="E26" s="0" t="n">
        <f aca="false">1/A26</f>
        <v>0.00193573364305072</v>
      </c>
      <c r="F26" s="2"/>
      <c r="G26" s="2"/>
    </row>
  </sheetData>
  <mergeCells count="2">
    <mergeCell ref="F2:F26"/>
    <mergeCell ref="G2:G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2026-03-18T09:16:33Z</dcterms:created>
  <dc:creator/>
  <dc:description/>
  <dc:language>en-GB</dc:language>
  <cp:lastModifiedBy/>
  <dcterms:modified xsi:type="dcterms:W3CDTF">2026-03-18T09:40:50Z</dcterms:modified>
  <cp:revision>4</cp:revision>
  <dc:subject/>
  <dc:title/>
</cp:coreProperties>
</file>