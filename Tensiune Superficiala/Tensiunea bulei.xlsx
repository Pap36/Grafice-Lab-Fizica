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<sst xmlns="http://schemas.openxmlformats.org/spreadsheetml/2006/main" count="10" uniqueCount="10">
  <si>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t</t>
  </si>
  <si>
    <t xml:space="preserve">h1</t>
  </si>
  <si>
    <t xml:space="preserve">h2</t>
  </si>
  <si>
    <t xml:space="preserve">h3</t>
  </si>
  <si>
    <t xml:space="preserve">h</t>
  </si>
  <si>
    <t xml:space="preserve">delta p</t>
  </si>
  <si>
    <t xml:space="preserve">sigma</t>
  </si>
  <si>
    <t xml:space="preserve">sigma (mN/m)</t>
  </si>
  <si>
    <t xml:space="preserve">sigma_tabel(mN/m)</t>
  </si>
  <si>
    <t xml:space="preserve">Valoare 20 stalagmometric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</si>
</sst>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K2" activeCellId="0" sqref="K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8" min="8" style="0" width="15.02"/>
    <col collapsed="false" customWidth="true" hidden="false" outlineLevel="0" max="9" min="9" style="0" width="18.33"/>
    <col collapsed="false" customWidth="true" hidden="false" outlineLevel="0" max="10" min="10" style="0" width="22.13"/>
    <col collapsed="false" customWidth="true" hidden="false" outlineLevel="0" max="11" min="11" style="0" width="22.4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n">
        <v>21</v>
      </c>
      <c r="B2" s="0" t="n">
        <v>1.8</v>
      </c>
      <c r="C2" s="0" t="n">
        <v>1.8</v>
      </c>
      <c r="D2" s="0" t="n">
        <v>1.7</v>
      </c>
      <c r="E2" s="1" t="n">
        <f aca="false">AVERAGE(B2:D2)</f>
        <v>1.76666666666667</v>
      </c>
      <c r="F2" s="1" t="n">
        <f aca="false">9.80665*E2*10</f>
        <v>173.250816666667</v>
      </c>
      <c r="G2" s="1" t="n">
        <f aca="false">F2*0.825 / 2000</f>
        <v>0.071465961875</v>
      </c>
      <c r="H2" s="1" t="n">
        <f aca="false">G2*1000</f>
        <v>71.465961875</v>
      </c>
      <c r="I2" s="0" t="n">
        <v>72.53</v>
      </c>
      <c r="J2" s="0" t="n">
        <v>77.2</v>
      </c>
    </row>
    <row r="3" customFormat="false" ht="12.8" hidden="false" customHeight="false" outlineLevel="0" collapsed="false">
      <c r="A3" s="0" t="n">
        <v>26</v>
      </c>
      <c r="B3" s="0" t="n">
        <v>2</v>
      </c>
      <c r="C3" s="0" t="n">
        <v>2</v>
      </c>
      <c r="D3" s="0" t="n">
        <v>2</v>
      </c>
      <c r="E3" s="1" t="n">
        <f aca="false">AVERAGE(B3:D3)</f>
        <v>2</v>
      </c>
      <c r="F3" s="1" t="n">
        <f aca="false">9.80665*E3*10</f>
        <v>196.133</v>
      </c>
      <c r="G3" s="1" t="n">
        <f aca="false">F3*0.825 / 2000</f>
        <v>0.0809048625</v>
      </c>
      <c r="H3" s="1" t="n">
        <f aca="false">G3*1000</f>
        <v>80.9048625</v>
      </c>
      <c r="I3" s="0" t="n">
        <v>71.78</v>
      </c>
    </row>
    <row r="4" customFormat="false" ht="12.8" hidden="false" customHeight="false" outlineLevel="0" collapsed="false">
      <c r="A4" s="0" t="n">
        <v>30</v>
      </c>
      <c r="B4" s="0" t="n">
        <v>1.7</v>
      </c>
      <c r="C4" s="0" t="n">
        <v>1.8</v>
      </c>
      <c r="D4" s="0" t="n">
        <v>1.7</v>
      </c>
      <c r="E4" s="1" t="n">
        <f aca="false">AVERAGE(B4:D4)</f>
        <v>1.73333333333333</v>
      </c>
      <c r="F4" s="1" t="n">
        <f aca="false">9.80665*E4*10</f>
        <v>169.981933333333</v>
      </c>
      <c r="G4" s="1" t="n">
        <f aca="false">F4*0.825 / 2000</f>
        <v>0.0701175475</v>
      </c>
      <c r="H4" s="1" t="n">
        <f aca="false">G4*1000</f>
        <v>70.1175475</v>
      </c>
      <c r="I4" s="0" t="n">
        <v>71.03</v>
      </c>
    </row>
    <row r="5" customFormat="false" ht="12.8" hidden="false" customHeight="false" outlineLevel="0" collapsed="false">
      <c r="A5" s="0" t="n">
        <v>35</v>
      </c>
      <c r="B5" s="0" t="n">
        <v>1.7</v>
      </c>
      <c r="C5" s="0" t="n">
        <v>1.7</v>
      </c>
      <c r="D5" s="0" t="n">
        <v>1.7</v>
      </c>
      <c r="E5" s="1" t="n">
        <f aca="false">AVERAGE(B5:D5)</f>
        <v>1.7</v>
      </c>
      <c r="F5" s="1" t="n">
        <f aca="false">9.80665*E5*10</f>
        <v>166.71305</v>
      </c>
      <c r="G5" s="1" t="n">
        <f aca="false">F5*0.825 / 2000</f>
        <v>0.068769133125</v>
      </c>
      <c r="H5" s="1" t="n">
        <f aca="false">G5*1000</f>
        <v>68.769133125</v>
      </c>
      <c r="I5" s="0" t="n">
        <v>70.29</v>
      </c>
    </row>
    <row r="6" customFormat="false" ht="12.8" hidden="false" customHeight="false" outlineLevel="0" collapsed="false">
      <c r="A6" s="0" t="n">
        <v>40</v>
      </c>
      <c r="B6" s="0" t="n">
        <v>1.6</v>
      </c>
      <c r="C6" s="0" t="n">
        <v>1.7</v>
      </c>
      <c r="D6" s="0" t="n">
        <v>1.7</v>
      </c>
      <c r="E6" s="1" t="n">
        <f aca="false">AVERAGE(B6:D6)</f>
        <v>1.66666666666667</v>
      </c>
      <c r="F6" s="1" t="n">
        <f aca="false">9.80665*E6*10</f>
        <v>163.444166666667</v>
      </c>
      <c r="G6" s="1" t="n">
        <f aca="false">F6*0.825 / 2000</f>
        <v>0.06742071875</v>
      </c>
      <c r="H6" s="1" t="n">
        <f aca="false">G6*1000</f>
        <v>67.42071875</v>
      </c>
      <c r="I6" s="0" t="n">
        <v>69.54</v>
      </c>
    </row>
    <row r="7" customFormat="false" ht="12.8" hidden="false" customHeight="false" outlineLevel="0" collapsed="false">
      <c r="A7" s="0" t="n">
        <v>45</v>
      </c>
      <c r="B7" s="0" t="n">
        <v>1.7</v>
      </c>
      <c r="C7" s="0" t="n">
        <v>1.6</v>
      </c>
      <c r="D7" s="0" t="n">
        <v>1.6</v>
      </c>
      <c r="E7" s="1" t="n">
        <f aca="false">AVERAGE(B7:D7)</f>
        <v>1.63333333333333</v>
      </c>
      <c r="F7" s="1" t="n">
        <f aca="false">9.80665*E7*10</f>
        <v>160.175283333333</v>
      </c>
      <c r="G7" s="1" t="n">
        <f aca="false">F7*0.825 / 2000</f>
        <v>0.066072304375</v>
      </c>
      <c r="H7" s="1" t="n">
        <f aca="false">G7*1000</f>
        <v>66.072304375</v>
      </c>
      <c r="I7" s="0" t="n">
        <v>68.6</v>
      </c>
    </row>
    <row r="8" customFormat="false" ht="12.8" hidden="false" customHeight="false" outlineLevel="0" collapsed="false">
      <c r="A8" s="0" t="n">
        <v>50</v>
      </c>
      <c r="B8" s="0" t="n">
        <v>1.4</v>
      </c>
      <c r="C8" s="0" t="n">
        <v>1.6</v>
      </c>
      <c r="D8" s="0" t="n">
        <v>1.6</v>
      </c>
      <c r="E8" s="1" t="n">
        <f aca="false">AVERAGE(B8:D8)</f>
        <v>1.53333333333333</v>
      </c>
      <c r="F8" s="1" t="n">
        <f aca="false">9.80665*E8*10</f>
        <v>150.368633333333</v>
      </c>
      <c r="G8" s="1" t="n">
        <f aca="false">F8*0.825 / 2000</f>
        <v>0.06202706125</v>
      </c>
      <c r="H8" s="1" t="n">
        <f aca="false">G8*1000</f>
        <v>62.02706125</v>
      </c>
      <c r="I8" s="0" t="n">
        <v>67.8</v>
      </c>
    </row>
    <row r="9" customFormat="false" ht="12.8" hidden="false" customHeight="false" outlineLevel="0" collapsed="false">
      <c r="A9" s="0" t="n">
        <v>55</v>
      </c>
      <c r="B9" s="0" t="n">
        <v>1.5</v>
      </c>
      <c r="C9" s="0" t="n">
        <v>1.6</v>
      </c>
      <c r="D9" s="0" t="n">
        <v>1.6</v>
      </c>
      <c r="E9" s="1" t="n">
        <f aca="false">AVERAGE(B9:D9)</f>
        <v>1.56666666666667</v>
      </c>
      <c r="F9" s="1" t="n">
        <f aca="false">9.80665*E9*10</f>
        <v>153.637516666667</v>
      </c>
      <c r="G9" s="1" t="n">
        <f aca="false">F9*0.825 / 2000</f>
        <v>0.063375475625</v>
      </c>
      <c r="H9" s="1" t="n">
        <f aca="false">G9*1000</f>
        <v>63.375475625</v>
      </c>
      <c r="I9" s="0" t="n">
        <v>66.9</v>
      </c>
    </row>
    <row r="10" customFormat="false" ht="12.8" hidden="false" customHeight="false" outlineLevel="0" collapsed="false">
      <c r="E10" s="1"/>
      <c r="F10" s="1"/>
      <c r="G10" s="1"/>
      <c r="H10" s="1"/>
    </row>
    <row r="11" customFormat="false" ht="12.8" hidden="false" customHeight="false" outlineLevel="0" collapsed="false">
      <c r="E11" s="1"/>
      <c r="F11" s="1"/>
      <c r="G11" s="1"/>
      <c r="H11" s="1"/>
    </row>
    <row r="12" customFormat="false" ht="12.8" hidden="false" customHeight="false" outlineLevel="0" collapsed="false">
      <c r="E12" s="1"/>
      <c r="F12" s="1"/>
      <c r="G12" s="1"/>
      <c r="H12" s="1"/>
    </row>
    <row r="13" customFormat="false" ht="12.8" hidden="false" customHeight="false" outlineLevel="0" collapsed="false">
      <c r="E13" s="1"/>
      <c r="F13" s="1"/>
      <c r="G13" s="1"/>
      <c r="H13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2026-04-29T09:24:41Z</dcterms:created>
  <dc:creator/>
  <dc:description/>
  <dc:language>en-GB</dc:language>
  <cp:lastModifiedBy/>
  <dcterms:modified xsi:type="dcterms:W3CDTF">2026-04-29T10:16:44Z</dcterms:modified>
  <cp:revision>6</cp:revision>
  <dc:subject/>
  <dc:title/>
</cp:coreProperties>
</file>