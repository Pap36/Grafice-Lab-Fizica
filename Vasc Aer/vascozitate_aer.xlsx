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<sst xmlns="http://schemas.openxmlformats.org/spreadsheetml/2006/main" count="13" uniqueCount="13">
  <si>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tau</t>
  </si>
  <si>
    <t xml:space="preserve">l</t>
  </si>
  <si>
    <t xml:space="preserve">r</t>
  </si>
  <si>
    <t xml:space="preserve">delta p</t>
  </si>
  <si>
    <t xml:space="preserve">V</t>
  </si>
  <si>
    <t xml:space="preserve">eta</t>
  </si>
  <si>
    <t xml:space="preserve">delta h apa</t>
  </si>
  <si>
    <t xml:space="preserve">eta dap</t>
  </si>
  <si>
    <t xml:space="preserve">eta_med_dap</t>
  </si>
  <si>
    <t xml:space="preserve">delta mod</t>
  </si>
  <si>
    <t xml:space="preserve">delta mod sq</t>
  </si>
  <si>
    <t xml:space="preserve">delta</t>
  </si>
  <si>
    <t xml:space="preserve">eps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</si>
</sst>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23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</row>
    <row r="2" customFormat="false" ht="12.8" hidden="false" customHeight="false" outlineLevel="0" collapsed="false">
      <c r="A2" s="1" t="n">
        <v>46.81</v>
      </c>
      <c r="B2" s="1" t="n">
        <v>140</v>
      </c>
      <c r="C2" s="1" t="n">
        <v>0.75</v>
      </c>
      <c r="D2" s="1" t="n">
        <f aca="false">H2*9.81*1000</f>
        <v>1863900</v>
      </c>
      <c r="E2" s="1" t="n">
        <v>1</v>
      </c>
      <c r="F2" s="1" t="n">
        <f aca="false">D2*PI()*C2^4*A2/(8*B2*E2)</f>
        <v>77435.1516205682</v>
      </c>
      <c r="G2" s="1"/>
      <c r="H2" s="1" t="n">
        <v>190</v>
      </c>
      <c r="I2" s="1"/>
      <c r="J2" s="1" t="n">
        <f aca="false">F2 / 10000</f>
        <v>7.74351516205682</v>
      </c>
      <c r="K2" s="2" t="n">
        <f aca="false">AVERAGE(J2:J11)</f>
        <v>6.42745783633429</v>
      </c>
      <c r="L2" s="1" t="n">
        <f aca="false">ABS(J2-$K$2)</f>
        <v>1.31605732572253</v>
      </c>
      <c r="M2" s="1" t="n">
        <f aca="false">L2^2</f>
        <v>1.73200688458793</v>
      </c>
      <c r="N2" s="2" t="n">
        <f aca="false">SQRT(SUM(M2:M11) / 90)</f>
        <v>0.276268016176564</v>
      </c>
      <c r="O2" s="2" t="n">
        <f aca="false">N2/K2</f>
        <v>0.0429824703967447</v>
      </c>
    </row>
    <row r="3" customFormat="false" ht="12.8" hidden="false" customHeight="false" outlineLevel="0" collapsed="false">
      <c r="A3" s="1" t="n">
        <v>140.1966</v>
      </c>
      <c r="B3" s="1" t="n">
        <v>140</v>
      </c>
      <c r="C3" s="1" t="n">
        <v>0.75</v>
      </c>
      <c r="D3" s="1" t="n">
        <f aca="false">H3*9.81*1000</f>
        <v>441450</v>
      </c>
      <c r="E3" s="1" t="n">
        <v>1</v>
      </c>
      <c r="F3" s="1" t="n">
        <f aca="false">D3*PI()*C3^4*A3/(8*B3*E3)</f>
        <v>54928.2681383832</v>
      </c>
      <c r="G3" s="1"/>
      <c r="H3" s="1" t="n">
        <v>45</v>
      </c>
      <c r="I3" s="1"/>
      <c r="J3" s="1" t="n">
        <f aca="false">F3 / 10000</f>
        <v>5.49282681383833</v>
      </c>
      <c r="K3" s="2"/>
      <c r="L3" s="1" t="n">
        <f aca="false">ABS(J3-$K$2)</f>
        <v>0.934631022495968</v>
      </c>
      <c r="M3" s="1" t="n">
        <f aca="false">L3^2</f>
        <v>0.873535148211859</v>
      </c>
      <c r="N3" s="2"/>
      <c r="O3" s="2"/>
    </row>
    <row r="4" customFormat="false" ht="12.8" hidden="false" customHeight="false" outlineLevel="0" collapsed="false">
      <c r="A4" s="1" t="n">
        <v>66.593</v>
      </c>
      <c r="B4" s="1" t="n">
        <v>140</v>
      </c>
      <c r="C4" s="1" t="n">
        <v>0.75</v>
      </c>
      <c r="D4" s="1" t="n">
        <f aca="false">H4*9.81*1000</f>
        <v>1049670</v>
      </c>
      <c r="E4" s="1" t="n">
        <v>1</v>
      </c>
      <c r="F4" s="1" t="n">
        <f aca="false">D4*PI()*C4^4*A4/(8*B4*E4)</f>
        <v>62038.0686256793</v>
      </c>
      <c r="G4" s="1"/>
      <c r="H4" s="1" t="n">
        <v>107</v>
      </c>
      <c r="I4" s="1"/>
      <c r="J4" s="1" t="n">
        <f aca="false">F4 / 10000</f>
        <v>6.20380686256793</v>
      </c>
      <c r="K4" s="2"/>
      <c r="L4" s="1" t="n">
        <f aca="false">ABS(J4-$K$2)</f>
        <v>0.223650973766361</v>
      </c>
      <c r="M4" s="1" t="n">
        <f aca="false">L4^2</f>
        <v>0.0500197580666415</v>
      </c>
      <c r="N4" s="2"/>
      <c r="O4" s="2"/>
    </row>
    <row r="5" customFormat="false" ht="12.8" hidden="false" customHeight="false" outlineLevel="0" collapsed="false">
      <c r="A5" s="1" t="n">
        <v>49.07</v>
      </c>
      <c r="B5" s="1" t="n">
        <v>140</v>
      </c>
      <c r="C5" s="1" t="n">
        <v>0.75</v>
      </c>
      <c r="D5" s="1" t="n">
        <f aca="false">H5*9.81*1000</f>
        <v>1667700</v>
      </c>
      <c r="E5" s="1" t="n">
        <v>1</v>
      </c>
      <c r="F5" s="1" t="n">
        <f aca="false">D5*PI()*C5^4*A5/(8*B5*E5)</f>
        <v>72629.1380950559</v>
      </c>
      <c r="G5" s="1"/>
      <c r="H5" s="1" t="n">
        <v>170</v>
      </c>
      <c r="I5" s="1"/>
      <c r="J5" s="1" t="n">
        <f aca="false">F5 / 10000</f>
        <v>7.26291380950559</v>
      </c>
      <c r="K5" s="2"/>
      <c r="L5" s="1" t="n">
        <f aca="false">ABS(J5-$K$2)</f>
        <v>0.8354559731713</v>
      </c>
      <c r="M5" s="1" t="n">
        <f aca="false">L5^2</f>
        <v>0.697986683107603</v>
      </c>
      <c r="N5" s="2"/>
      <c r="O5" s="2"/>
    </row>
    <row r="6" customFormat="false" ht="12.8" hidden="false" customHeight="false" outlineLevel="0" collapsed="false">
      <c r="A6" s="1" t="n">
        <v>93.02</v>
      </c>
      <c r="B6" s="1" t="n">
        <v>140</v>
      </c>
      <c r="C6" s="1" t="n">
        <v>0.75</v>
      </c>
      <c r="D6" s="1" t="n">
        <f aca="false">H6*9.81*1000</f>
        <v>706320</v>
      </c>
      <c r="E6" s="1" t="n">
        <v>1</v>
      </c>
      <c r="F6" s="1" t="n">
        <f aca="false">D6*PI()*C6^4*A6/(8*B6*E6)</f>
        <v>58311.5710621503</v>
      </c>
      <c r="G6" s="1"/>
      <c r="H6" s="1" t="n">
        <v>72</v>
      </c>
      <c r="I6" s="1"/>
      <c r="J6" s="1" t="n">
        <f aca="false">F6 / 10000</f>
        <v>5.83115710621503</v>
      </c>
      <c r="K6" s="2"/>
      <c r="L6" s="1" t="n">
        <f aca="false">ABS(J6-$K$2)</f>
        <v>0.596300730119267</v>
      </c>
      <c r="M6" s="1" t="n">
        <f aca="false">L6^2</f>
        <v>0.355574560740771</v>
      </c>
      <c r="N6" s="2"/>
      <c r="O6" s="2"/>
    </row>
    <row r="7" customFormat="false" ht="12.8" hidden="false" customHeight="false" outlineLevel="0" collapsed="false">
      <c r="A7" s="1" t="n">
        <v>58.84</v>
      </c>
      <c r="B7" s="1" t="n">
        <v>140</v>
      </c>
      <c r="C7" s="1" t="n">
        <v>0.75</v>
      </c>
      <c r="D7" s="1" t="n">
        <f aca="false">H7*9.81*1000</f>
        <v>1275300</v>
      </c>
      <c r="E7" s="1" t="n">
        <v>1</v>
      </c>
      <c r="F7" s="1" t="n">
        <f aca="false">D7*PI()*C7^4*A7/(8*B7*E7)</f>
        <v>66598.1135133125</v>
      </c>
      <c r="G7" s="1"/>
      <c r="H7" s="1" t="n">
        <v>130</v>
      </c>
      <c r="I7" s="1"/>
      <c r="J7" s="1" t="n">
        <f aca="false">F7 / 10000</f>
        <v>6.65981135133125</v>
      </c>
      <c r="K7" s="2"/>
      <c r="L7" s="1" t="n">
        <f aca="false">ABS(J7-$K$2)</f>
        <v>0.23235351499696</v>
      </c>
      <c r="M7" s="1" t="n">
        <f aca="false">L7^2</f>
        <v>0.0539881559314423</v>
      </c>
      <c r="N7" s="2"/>
      <c r="O7" s="2"/>
    </row>
    <row r="8" customFormat="false" ht="12.8" hidden="false" customHeight="false" outlineLevel="0" collapsed="false">
      <c r="A8" s="1" t="n">
        <v>71.76</v>
      </c>
      <c r="B8" s="1" t="n">
        <v>140</v>
      </c>
      <c r="C8" s="1" t="n">
        <v>0.75</v>
      </c>
      <c r="D8" s="1" t="n">
        <f aca="false">H8*9.81*1000</f>
        <v>1128150</v>
      </c>
      <c r="E8" s="1" t="n">
        <v>1</v>
      </c>
      <c r="F8" s="1" t="n">
        <f aca="false">D8*PI()*C8^4*A8/(8*B8*E8)</f>
        <v>71849.9022064085</v>
      </c>
      <c r="G8" s="1"/>
      <c r="H8" s="1" t="n">
        <v>115</v>
      </c>
      <c r="I8" s="1"/>
      <c r="J8" s="1" t="n">
        <f aca="false">F8 / 10000</f>
        <v>7.18499022064085</v>
      </c>
      <c r="K8" s="2"/>
      <c r="L8" s="1" t="n">
        <f aca="false">ABS(J8-$K$2)</f>
        <v>0.757532384306561</v>
      </c>
      <c r="M8" s="1" t="n">
        <f aca="false">L8^2</f>
        <v>0.573855313273183</v>
      </c>
      <c r="N8" s="2"/>
      <c r="O8" s="2"/>
    </row>
    <row r="9" customFormat="false" ht="12.8" hidden="false" customHeight="false" outlineLevel="0" collapsed="false">
      <c r="A9" s="1" t="n">
        <v>210.57</v>
      </c>
      <c r="B9" s="1" t="n">
        <v>140</v>
      </c>
      <c r="C9" s="1" t="n">
        <v>0.75</v>
      </c>
      <c r="D9" s="1" t="n">
        <f aca="false">H9*9.81*1000</f>
        <v>313920</v>
      </c>
      <c r="E9" s="1" t="n">
        <v>1</v>
      </c>
      <c r="F9" s="1" t="n">
        <f aca="false">D9*PI()*C9^4*A9/(8*B9*E9)</f>
        <v>58666.7981488186</v>
      </c>
      <c r="G9" s="1"/>
      <c r="H9" s="1" t="n">
        <v>32</v>
      </c>
      <c r="I9" s="1"/>
      <c r="J9" s="1" t="n">
        <f aca="false">F9 / 10000</f>
        <v>5.86667981488186</v>
      </c>
      <c r="K9" s="2"/>
      <c r="L9" s="1" t="n">
        <f aca="false">ABS(J9-$K$2)</f>
        <v>0.560778021452438</v>
      </c>
      <c r="M9" s="1" t="n">
        <f aca="false">L9^2</f>
        <v>0.314471989344111</v>
      </c>
      <c r="N9" s="2"/>
      <c r="O9" s="2"/>
    </row>
    <row r="10" customFormat="false" ht="12.8" hidden="false" customHeight="false" outlineLevel="0" collapsed="false">
      <c r="A10" s="1" t="n">
        <v>289.77</v>
      </c>
      <c r="B10" s="1" t="n">
        <v>140</v>
      </c>
      <c r="C10" s="1" t="n">
        <v>0.75</v>
      </c>
      <c r="D10" s="1" t="n">
        <f aca="false">H10*9.81*1000</f>
        <v>196200</v>
      </c>
      <c r="E10" s="1" t="n">
        <v>1</v>
      </c>
      <c r="F10" s="1" t="n">
        <f aca="false">D10*PI()*C10^4*A10/(8*B10*E10)</f>
        <v>50457.9180901338</v>
      </c>
      <c r="G10" s="1"/>
      <c r="H10" s="1" t="n">
        <v>20</v>
      </c>
      <c r="I10" s="1"/>
      <c r="J10" s="1" t="n">
        <f aca="false">F10 / 10000</f>
        <v>5.04579180901338</v>
      </c>
      <c r="K10" s="2"/>
      <c r="L10" s="1" t="n">
        <f aca="false">ABS(J10-$K$2)</f>
        <v>1.38166602732091</v>
      </c>
      <c r="M10" s="1" t="n">
        <f aca="false">L10^2</f>
        <v>1.90900101105276</v>
      </c>
      <c r="N10" s="2"/>
      <c r="O10" s="2"/>
    </row>
    <row r="11" customFormat="false" ht="12.8" hidden="false" customHeight="false" outlineLevel="0" collapsed="false">
      <c r="A11" s="1" t="n">
        <v>53.47</v>
      </c>
      <c r="B11" s="1" t="n">
        <v>140</v>
      </c>
      <c r="C11" s="1" t="n">
        <v>0.75</v>
      </c>
      <c r="D11" s="1" t="n">
        <f aca="false">H11*9.81*1000</f>
        <v>1471500</v>
      </c>
      <c r="E11" s="1" t="n">
        <v>1</v>
      </c>
      <c r="F11" s="1" t="n">
        <f aca="false">D11*PI()*C11^4*A11/(8*B11*E11)</f>
        <v>69830.8541329189</v>
      </c>
      <c r="G11" s="1"/>
      <c r="H11" s="1" t="n">
        <v>150</v>
      </c>
      <c r="I11" s="1"/>
      <c r="J11" s="1" t="n">
        <f aca="false">F11 / 10000</f>
        <v>6.98308541329189</v>
      </c>
      <c r="K11" s="2"/>
      <c r="L11" s="1" t="n">
        <f aca="false">ABS(J11-$K$2)</f>
        <v>0.555627576957595</v>
      </c>
      <c r="M11" s="1" t="n">
        <f aca="false">L11^2</f>
        <v>0.308722004275768</v>
      </c>
      <c r="N11" s="2"/>
      <c r="O11" s="2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</sheetData>
  <mergeCells count="3">
    <mergeCell ref="K2:K12"/>
    <mergeCell ref="N2:N11"/>
    <mergeCell ref="O2:O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2026-03-04T09:16:45Z</dcterms:created>
  <dc:creator/>
  <dc:description/>
  <dc:language>en-GB</dc:language>
  <cp:lastModifiedBy/>
  <dcterms:modified xsi:type="dcterms:W3CDTF">2026-03-04T10:25:28Z</dcterms:modified>
  <cp:revision>8</cp:revision>
  <dc:subject/>
  <dc:title/>
</cp:coreProperties>
</file>